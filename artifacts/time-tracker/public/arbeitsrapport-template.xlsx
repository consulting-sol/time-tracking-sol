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bianalberti/Desktop/oikos Solar/Personal Admin/Campus Creditd 2026/"/>
    </mc:Choice>
  </mc:AlternateContent>
  <xr:revisionPtr revIDLastSave="0" documentId="13_ncr:1_{C4143080-12B4-4E4A-BF10-6A93A2E01E4F}" xr6:coauthVersionLast="47" xr6:coauthVersionMax="47" xr10:uidLastSave="{00000000-0000-0000-0000-000000000000}"/>
  <bookViews>
    <workbookView xWindow="0" yWindow="680" windowWidth="34200" windowHeight="21460" tabRatio="723" activeTab="2" xr2:uid="{00000000-000D-0000-FFFF-FFFF00000000}"/>
  </bookViews>
  <sheets>
    <sheet name="Total Aufwand" sheetId="2" r:id="rId1"/>
    <sheet name="Jan" sheetId="1" r:id="rId2"/>
    <sheet name="Feb" sheetId="9" r:id="rId3"/>
    <sheet name="März" sheetId="10" r:id="rId4"/>
    <sheet name="April" sheetId="11" r:id="rId5"/>
    <sheet name="Mai" sheetId="12" r:id="rId6"/>
    <sheet name="Juni" sheetId="13" r:id="rId7"/>
    <sheet name="Juli" sheetId="14" r:id="rId8"/>
    <sheet name="Aug" sheetId="15" r:id="rId9"/>
    <sheet name="Sept" sheetId="16" r:id="rId10"/>
    <sheet name="Okt" sheetId="17" r:id="rId11"/>
    <sheet name="Nov" sheetId="18" r:id="rId12"/>
    <sheet name="Dez" sheetId="19" r:id="rId13"/>
  </sheets>
  <definedNames>
    <definedName name="_xlnm.Print_Area" localSheetId="4">April!$A$1:$E$46</definedName>
    <definedName name="_xlnm.Print_Area" localSheetId="8">Aug!$A$1:$E$45</definedName>
    <definedName name="_xlnm.Print_Area" localSheetId="12">Dez!$A$1:$E$45</definedName>
    <definedName name="_xlnm.Print_Area" localSheetId="2">Feb!$A$1:$E$45</definedName>
    <definedName name="_xlnm.Print_Area" localSheetId="1">Jan!$A$1:$E$46</definedName>
    <definedName name="_xlnm.Print_Area" localSheetId="7">Juli!$A$1:$E$45</definedName>
    <definedName name="_xlnm.Print_Area" localSheetId="6">Juni!$A$1:$E$44</definedName>
    <definedName name="_xlnm.Print_Area" localSheetId="5">Mai!$A$1:$E$45</definedName>
    <definedName name="_xlnm.Print_Area" localSheetId="3">März!$A$1:$E$46</definedName>
    <definedName name="_xlnm.Print_Area" localSheetId="11">Nov!$A$1:$E$45</definedName>
    <definedName name="_xlnm.Print_Area" localSheetId="10">Okt!$A$1:$E$46</definedName>
    <definedName name="_xlnm.Print_Area" localSheetId="9">Sept!$A$1:$E$44</definedName>
    <definedName name="_xlnm.Print_Area" localSheetId="0">'Total Aufwand'!$A$1:$H$56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9" l="1"/>
  <c r="C7" i="18"/>
  <c r="C7" i="17"/>
  <c r="C7" i="16"/>
  <c r="C7" i="15"/>
  <c r="C7" i="14"/>
  <c r="C7" i="13"/>
  <c r="C7" i="12"/>
  <c r="C7" i="11"/>
  <c r="C7" i="10"/>
  <c r="C7" i="9"/>
  <c r="C7" i="1"/>
  <c r="C43" i="11"/>
  <c r="C44" i="11" s="1"/>
  <c r="C43" i="15"/>
  <c r="D22" i="2" s="1"/>
  <c r="E22" i="2" s="1"/>
  <c r="C43" i="19"/>
  <c r="C44" i="19" s="1"/>
  <c r="C43" i="9"/>
  <c r="D16" i="2" s="1"/>
  <c r="C43" i="1"/>
  <c r="C44" i="1" s="1"/>
  <c r="C43" i="14"/>
  <c r="C44" i="14" s="1"/>
  <c r="C42" i="13"/>
  <c r="C43" i="13" s="1"/>
  <c r="C43" i="12"/>
  <c r="C44" i="12" s="1"/>
  <c r="C43" i="10"/>
  <c r="C44" i="10" s="1"/>
  <c r="C42" i="18"/>
  <c r="D25" i="2" s="1"/>
  <c r="E25" i="2" s="1"/>
  <c r="C43" i="17"/>
  <c r="C44" i="17" s="1"/>
  <c r="C42" i="16"/>
  <c r="C43" i="16" s="1"/>
  <c r="D18" i="2" l="1"/>
  <c r="E18" i="2" s="1"/>
  <c r="D17" i="2"/>
  <c r="E17" i="2" s="1"/>
  <c r="D21" i="2"/>
  <c r="E21" i="2" s="1"/>
  <c r="D24" i="2"/>
  <c r="E24" i="2" s="1"/>
  <c r="D19" i="2"/>
  <c r="E19" i="2" s="1"/>
  <c r="D15" i="2"/>
  <c r="E15" i="2" s="1"/>
  <c r="D20" i="2"/>
  <c r="E20" i="2" s="1"/>
  <c r="D26" i="2"/>
  <c r="E26" i="2" s="1"/>
  <c r="C43" i="18"/>
  <c r="C44" i="9"/>
  <c r="C44" i="15"/>
  <c r="D23" i="2"/>
  <c r="E23" i="2" s="1"/>
  <c r="E16" i="2"/>
  <c r="E28" i="2" l="1"/>
  <c r="D28" i="2"/>
</calcChain>
</file>

<file path=xl/sharedStrings.xml><?xml version="1.0" encoding="utf-8"?>
<sst xmlns="http://schemas.openxmlformats.org/spreadsheetml/2006/main" count="691" uniqueCount="527">
  <si>
    <t>Name des Projekts:</t>
  </si>
  <si>
    <t>Jahr des Projekts:</t>
  </si>
  <si>
    <t>Name Student/-in:</t>
  </si>
  <si>
    <t>Name begleitende(r) Dozierende(r):</t>
  </si>
  <si>
    <t>Arbeitsaufwand für gesamtes Projekt</t>
  </si>
  <si>
    <t>Aufwand</t>
  </si>
  <si>
    <t>Stunden</t>
  </si>
  <si>
    <t>Tage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</si>
  <si>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</si>
  <si>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</si>
  <si>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</si>
  <si>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</si>
  <si>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</si>
  <si>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</si>
  <si>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</si>
  <si>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</si>
  <si>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</si>
  <si>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</si>
  <si>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</si>
  <si>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</si>
  <si>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Total</t>
  </si>
  <si>
    <t>Datum / Unterschrift Student/-in:</t>
  </si>
  <si>
    <t xml:space="preserve">...................................................................................    </t>
  </si>
  <si>
    <t>Datum / Unterschrift Präsident/-in der Organisation:</t>
  </si>
  <si>
    <t>Datum / Unterschrift begleitende(r) Dozierende(r):</t>
  </si>
  <si>
    <t>Hinweis:</t>
  </si>
  <si>
    <t>Dieses Formular wird Ihnen von der Universität St.Gallen zur Verfügung gestellt.</t>
  </si>
  <si>
    <t>Für die korrekte Berechnung wird keine Gewähr übernommen.</t>
  </si>
  <si>
    <t>Campus Credits Arbeitsrapport</t>
  </si>
  <si>
    <t>- Die Aufwände sind in Stunden anzugeben</t>
  </si>
  <si>
    <t>- Dieses Arbeitsblatt bezieht sich auf einen Kalendermonat</t>
  </si>
  <si>
    <t>Monat:</t>
  </si>
  <si>
    <t>Datum</t>
  </si>
  <si>
    <t>Kurzbeschreibung der Tätigkeit</t>
  </si>
  <si>
    <t>1. Januar</t>
  </si>
  <si>
    <t>2. Januar</t>
  </si>
  <si>
    <t>3. Januar</t>
  </si>
  <si>
    <t>4. Januar</t>
  </si>
  <si>
    <t>5. Januar</t>
  </si>
  <si>
    <t>6. Januar</t>
  </si>
  <si>
    <t>7. Januar</t>
  </si>
  <si>
    <t>8. Januar</t>
  </si>
  <si>
    <t>9. Januar</t>
  </si>
  <si>
    <t>10. Januar</t>
  </si>
  <si>
    <t>11. Januar</t>
  </si>
  <si>
    <t>12. Januar</t>
  </si>
  <si>
    <t>13. Januar</t>
  </si>
  <si>
    <t>14. Januar</t>
  </si>
  <si>
    <t>15. Januar</t>
  </si>
  <si>
    <t>16. Januar</t>
  </si>
  <si>
    <t>17. Januar</t>
  </si>
  <si>
    <t>18. Januar</t>
  </si>
  <si>
    <t>19. Januar</t>
  </si>
  <si>
    <t>20. Januar</t>
  </si>
  <si>
    <t>21. Januar</t>
  </si>
  <si>
    <t>22. Januar</t>
  </si>
  <si>
    <t>23. Januar</t>
  </si>
  <si>
    <t>24. Januar</t>
  </si>
  <si>
    <t>25. Januar</t>
  </si>
  <si>
    <t>26. Januar</t>
  </si>
  <si>
    <t>27. Januar</t>
  </si>
  <si>
    <t>28. Januar</t>
  </si>
  <si>
    <t>29. Januar</t>
  </si>
  <si>
    <t>30. Januar</t>
  </si>
  <si>
    <t>31. Januar</t>
  </si>
  <si>
    <t>Aufwand Stunden</t>
  </si>
  <si>
    <t>Aufwand Tage</t>
  </si>
  <si>
    <t>1. Februar</t>
  </si>
  <si>
    <t>2. Februar</t>
  </si>
  <si>
    <t>3. Februar</t>
  </si>
  <si>
    <t>4. Februar</t>
  </si>
  <si>
    <t>5. Februar</t>
  </si>
  <si>
    <t>6. Februar</t>
  </si>
  <si>
    <t>7. Februar</t>
  </si>
  <si>
    <t>8. Februar</t>
  </si>
  <si>
    <t>9. Februar</t>
  </si>
  <si>
    <t>10. Februar</t>
  </si>
  <si>
    <t>11. Februar</t>
  </si>
  <si>
    <t>12. Februar</t>
  </si>
  <si>
    <t>13. Februar</t>
  </si>
  <si>
    <t>14. Februar</t>
  </si>
  <si>
    <t>15. Februar</t>
  </si>
  <si>
    <t>16. Februar</t>
  </si>
  <si>
    <t>17. Februar</t>
  </si>
  <si>
    <t>18. Februar</t>
  </si>
  <si>
    <t>19. Februar</t>
  </si>
  <si>
    <t>20. Februar</t>
  </si>
  <si>
    <t>21. Februar</t>
  </si>
  <si>
    <t>22. Februar</t>
  </si>
  <si>
    <t>23. Februar</t>
  </si>
  <si>
    <t>24. Februar</t>
  </si>
  <si>
    <t>25. Februar</t>
  </si>
  <si>
    <t>26. Februar</t>
  </si>
  <si>
    <t>27. Februar</t>
  </si>
  <si>
    <t>28. Februar</t>
  </si>
  <si>
    <t>1. März</t>
  </si>
  <si>
    <t>2. März</t>
  </si>
  <si>
    <t>3. März</t>
  </si>
  <si>
    <t>4. März</t>
  </si>
  <si>
    <t>5. März</t>
  </si>
  <si>
    <t>6. März</t>
  </si>
  <si>
    <t>7. März</t>
  </si>
  <si>
    <t>8. März</t>
  </si>
  <si>
    <t>9. März</t>
  </si>
  <si>
    <t>10. März</t>
  </si>
  <si>
    <t>11. März</t>
  </si>
  <si>
    <t>12. März</t>
  </si>
  <si>
    <t>13. März</t>
  </si>
  <si>
    <t>14. März</t>
  </si>
  <si>
    <t>15. März</t>
  </si>
  <si>
    <t>16. März</t>
  </si>
  <si>
    <t>17. März</t>
  </si>
  <si>
    <t>18. März</t>
  </si>
  <si>
    <t>19. März</t>
  </si>
  <si>
    <t>20. März</t>
  </si>
  <si>
    <t>21. März</t>
  </si>
  <si>
    <t>22. März</t>
  </si>
  <si>
    <t>23. März</t>
  </si>
  <si>
    <t>24. März</t>
  </si>
  <si>
    <t>25. März</t>
  </si>
  <si>
    <t>26. März</t>
  </si>
  <si>
    <t>27. März</t>
  </si>
  <si>
    <t>28. März</t>
  </si>
  <si>
    <t>29. März</t>
  </si>
  <si>
    <t>30. März</t>
  </si>
  <si>
    <t>31. März</t>
  </si>
  <si>
    <t>1. April</t>
  </si>
  <si>
    <t>2. April</t>
  </si>
  <si>
    <t>3. April</t>
  </si>
  <si>
    <t>4. April</t>
  </si>
  <si>
    <t>5. April</t>
  </si>
  <si>
    <t>6. April</t>
  </si>
  <si>
    <t>7. April</t>
  </si>
  <si>
    <t>8. April</t>
  </si>
  <si>
    <t>9. April</t>
  </si>
  <si>
    <t>10. April</t>
  </si>
  <si>
    <t>11. April</t>
  </si>
  <si>
    <t>12. April</t>
  </si>
  <si>
    <t>13. April</t>
  </si>
  <si>
    <t>14. April</t>
  </si>
  <si>
    <t>15. April</t>
  </si>
  <si>
    <t>16. April</t>
  </si>
  <si>
    <t>17. April</t>
  </si>
  <si>
    <t>18. April</t>
  </si>
  <si>
    <t>19. April</t>
  </si>
  <si>
    <t>20. April</t>
  </si>
  <si>
    <t>21. April</t>
  </si>
  <si>
    <t>22. April</t>
  </si>
  <si>
    <t>23. April</t>
  </si>
  <si>
    <t>24. April</t>
  </si>
  <si>
    <t>25. April</t>
  </si>
  <si>
    <t>26. April</t>
  </si>
  <si>
    <t>27. April</t>
  </si>
  <si>
    <t>28. April</t>
  </si>
  <si>
    <t>29. April</t>
  </si>
  <si>
    <t>30. April</t>
  </si>
  <si>
    <t>1. Mai</t>
  </si>
  <si>
    <t>2. Mai</t>
  </si>
  <si>
    <t>3. Mai</t>
  </si>
  <si>
    <t>4. Mai</t>
  </si>
  <si>
    <t>5. Mai</t>
  </si>
  <si>
    <t>6. Mai</t>
  </si>
  <si>
    <t>7. Mai</t>
  </si>
  <si>
    <t>8. Mai</t>
  </si>
  <si>
    <t>9. Mai</t>
  </si>
  <si>
    <t>10. Mai</t>
  </si>
  <si>
    <t>11. Mai</t>
  </si>
  <si>
    <t>12. Mai</t>
  </si>
  <si>
    <t>13. Mai</t>
  </si>
  <si>
    <t>14. Mai</t>
  </si>
  <si>
    <t>15. Mai</t>
  </si>
  <si>
    <t>16. Mai</t>
  </si>
  <si>
    <t>17. Mai</t>
  </si>
  <si>
    <t>18. Mai</t>
  </si>
  <si>
    <t>19. Mai</t>
  </si>
  <si>
    <t>20. Mai</t>
  </si>
  <si>
    <t>21. Mai</t>
  </si>
  <si>
    <t>22. Mai</t>
  </si>
  <si>
    <t>23. Mai</t>
  </si>
  <si>
    <t>24. Mai</t>
  </si>
  <si>
    <t>25. Mai</t>
  </si>
  <si>
    <t>26. Mai</t>
  </si>
  <si>
    <t>27. Mai</t>
  </si>
  <si>
    <t>28. Mai</t>
  </si>
  <si>
    <t>29. Mai</t>
  </si>
  <si>
    <t>30. Mai</t>
  </si>
  <si>
    <t>31. Mai</t>
  </si>
  <si>
    <t>1. Juni</t>
  </si>
  <si>
    <t>2. Juni</t>
  </si>
  <si>
    <t>3. Juni</t>
  </si>
  <si>
    <t>4. Juni</t>
  </si>
  <si>
    <t>5. Juni</t>
  </si>
  <si>
    <t>6. Juni</t>
  </si>
  <si>
    <t>7. Juni</t>
  </si>
  <si>
    <t>8. Juni</t>
  </si>
  <si>
    <t>9. Juni</t>
  </si>
  <si>
    <t>10. Juni</t>
  </si>
  <si>
    <t>11. Juni</t>
  </si>
  <si>
    <t>12. Juni</t>
  </si>
  <si>
    <t>13. Juni</t>
  </si>
  <si>
    <t>14. Juni</t>
  </si>
  <si>
    <t>15. Juni</t>
  </si>
  <si>
    <t>16. Juni</t>
  </si>
  <si>
    <t>17. Juni</t>
  </si>
  <si>
    <t>18. Juni</t>
  </si>
  <si>
    <t>19. Juni</t>
  </si>
  <si>
    <t>20. Juni</t>
  </si>
  <si>
    <t>21. Juni</t>
  </si>
  <si>
    <t>22. Juni</t>
  </si>
  <si>
    <t>23. Juni</t>
  </si>
  <si>
    <t>24. Juni</t>
  </si>
  <si>
    <t>25. Juni</t>
  </si>
  <si>
    <t>26. Juni</t>
  </si>
  <si>
    <t>27. Juni</t>
  </si>
  <si>
    <t>28. Juni</t>
  </si>
  <si>
    <t>29. Juni</t>
  </si>
  <si>
    <t>30. Juni</t>
  </si>
  <si>
    <t>1. Juli</t>
  </si>
  <si>
    <t>2. Juli</t>
  </si>
  <si>
    <t>3. Juli</t>
  </si>
  <si>
    <t>4. Juli</t>
  </si>
  <si>
    <t>5. Juli</t>
  </si>
  <si>
    <t>6. Juli</t>
  </si>
  <si>
    <t>7. Juli</t>
  </si>
  <si>
    <t>8. Juli</t>
  </si>
  <si>
    <t>9. Juli</t>
  </si>
  <si>
    <t>10. Juli</t>
  </si>
  <si>
    <t>11. Juli</t>
  </si>
  <si>
    <t>12. Juli</t>
  </si>
  <si>
    <t>13. Juli</t>
  </si>
  <si>
    <t>14. Juli</t>
  </si>
  <si>
    <t>15. Juli</t>
  </si>
  <si>
    <t>16. Juli</t>
  </si>
  <si>
    <t>17. Juli</t>
  </si>
  <si>
    <t>18. Juli</t>
  </si>
  <si>
    <t>19. Juli</t>
  </si>
  <si>
    <t>20. Juli</t>
  </si>
  <si>
    <t>21. Juli</t>
  </si>
  <si>
    <t>22. Juli</t>
  </si>
  <si>
    <t>23. Juli</t>
  </si>
  <si>
    <t>24. Juli</t>
  </si>
  <si>
    <t>25. Juli</t>
  </si>
  <si>
    <t>26. Juli</t>
  </si>
  <si>
    <t>27. Juli</t>
  </si>
  <si>
    <t>28. Juli</t>
  </si>
  <si>
    <t>29. Juli</t>
  </si>
  <si>
    <t>30. Juli</t>
  </si>
  <si>
    <t>31. Juli</t>
  </si>
  <si>
    <t>1. August</t>
  </si>
  <si>
    <t>2. August</t>
  </si>
  <si>
    <t>3. August</t>
  </si>
  <si>
    <t>4. August</t>
  </si>
  <si>
    <t>5. August</t>
  </si>
  <si>
    <t>6. August</t>
  </si>
  <si>
    <t>7. August</t>
  </si>
  <si>
    <t>8. August</t>
  </si>
  <si>
    <t>9. August</t>
  </si>
  <si>
    <t>10. August</t>
  </si>
  <si>
    <t>11. August</t>
  </si>
  <si>
    <t>12. August</t>
  </si>
  <si>
    <t>13. August</t>
  </si>
  <si>
    <t>14. August</t>
  </si>
  <si>
    <t>15. August</t>
  </si>
  <si>
    <t>16. August</t>
  </si>
  <si>
    <t>17. August</t>
  </si>
  <si>
    <t>18. August</t>
  </si>
  <si>
    <t>19. August</t>
  </si>
  <si>
    <t>20. August</t>
  </si>
  <si>
    <t>21. August</t>
  </si>
  <si>
    <t>22. August</t>
  </si>
  <si>
    <t>23. August</t>
  </si>
  <si>
    <t>24. August</t>
  </si>
  <si>
    <t>25. August</t>
  </si>
  <si>
    <t>26. August</t>
  </si>
  <si>
    <t>27. August</t>
  </si>
  <si>
    <t>28. August</t>
  </si>
  <si>
    <t>29. August</t>
  </si>
  <si>
    <t>30. August</t>
  </si>
  <si>
    <t>31. August</t>
  </si>
  <si>
    <t>1. September</t>
  </si>
  <si>
    <t>2. September</t>
  </si>
  <si>
    <t>3. September</t>
  </si>
  <si>
    <t>4. September</t>
  </si>
  <si>
    <t>5. September</t>
  </si>
  <si>
    <t>6. September</t>
  </si>
  <si>
    <t>7. September</t>
  </si>
  <si>
    <t>8. September</t>
  </si>
  <si>
    <t>9. September</t>
  </si>
  <si>
    <t>10. September</t>
  </si>
  <si>
    <t>11. September</t>
  </si>
  <si>
    <t>12. September</t>
  </si>
  <si>
    <t>13. September</t>
  </si>
  <si>
    <t>14. September</t>
  </si>
  <si>
    <t>15. September</t>
  </si>
  <si>
    <t>16. September</t>
  </si>
  <si>
    <t>17. September</t>
  </si>
  <si>
    <t>18. September</t>
  </si>
  <si>
    <t>19. September</t>
  </si>
  <si>
    <t>20. September</t>
  </si>
  <si>
    <t>21. September</t>
  </si>
  <si>
    <t>22. September</t>
  </si>
  <si>
    <t>23. September</t>
  </si>
  <si>
    <t>24. September</t>
  </si>
  <si>
    <t>25. September</t>
  </si>
  <si>
    <t>26. September</t>
  </si>
  <si>
    <t>27. September</t>
  </si>
  <si>
    <t>28. September</t>
  </si>
  <si>
    <t>29. September</t>
  </si>
  <si>
    <t>30. September</t>
  </si>
  <si>
    <t>1. Oktober</t>
  </si>
  <si>
    <t>2. Oktober</t>
  </si>
  <si>
    <t>3. Oktober</t>
  </si>
  <si>
    <t>4. Oktober</t>
  </si>
  <si>
    <t>5. Oktober</t>
  </si>
  <si>
    <t>6. Oktober</t>
  </si>
  <si>
    <t>7. Oktober</t>
  </si>
  <si>
    <t>8. Oktober</t>
  </si>
  <si>
    <t>9. Oktober</t>
  </si>
  <si>
    <t>10. Oktober</t>
  </si>
  <si>
    <t>11. Oktober</t>
  </si>
  <si>
    <t>12. Oktober</t>
  </si>
  <si>
    <t>13. Oktober</t>
  </si>
  <si>
    <t>14. Oktober</t>
  </si>
  <si>
    <t>15. Oktober</t>
  </si>
  <si>
    <t>16. Oktober</t>
  </si>
  <si>
    <t>17. Oktober</t>
  </si>
  <si>
    <t>18. Oktober</t>
  </si>
  <si>
    <t>19. Oktober</t>
  </si>
  <si>
    <t>20. Oktober</t>
  </si>
  <si>
    <t>21. Oktober</t>
  </si>
  <si>
    <t>22. Oktober</t>
  </si>
  <si>
    <t>23. Oktober</t>
  </si>
  <si>
    <t>24. Oktober</t>
  </si>
  <si>
    <t>25. Oktober</t>
  </si>
  <si>
    <t>26. Oktober</t>
  </si>
  <si>
    <t>27. Oktober</t>
  </si>
  <si>
    <t>28. Oktober</t>
  </si>
  <si>
    <t>29. Oktober</t>
  </si>
  <si>
    <t>30. Oktober</t>
  </si>
  <si>
    <t>31. Oktober</t>
  </si>
  <si>
    <t>1. November</t>
  </si>
  <si>
    <t>2. November</t>
  </si>
  <si>
    <t>3. November</t>
  </si>
  <si>
    <t>4. November</t>
  </si>
  <si>
    <t>5. November</t>
  </si>
  <si>
    <t>6. November</t>
  </si>
  <si>
    <t>7. November</t>
  </si>
  <si>
    <t>8. November</t>
  </si>
  <si>
    <t>9. November</t>
  </si>
  <si>
    <t>10. November</t>
  </si>
  <si>
    <t>11. November</t>
  </si>
  <si>
    <t>12. November</t>
  </si>
  <si>
    <t>13. November</t>
  </si>
  <si>
    <t>14. November</t>
  </si>
  <si>
    <t>15. November</t>
  </si>
  <si>
    <t>16. November</t>
  </si>
  <si>
    <t>17. November</t>
  </si>
  <si>
    <t>18. November</t>
  </si>
  <si>
    <t>19. November</t>
  </si>
  <si>
    <t>20. November</t>
  </si>
  <si>
    <t>21. November</t>
  </si>
  <si>
    <t>22. November</t>
  </si>
  <si>
    <t>23. November</t>
  </si>
  <si>
    <t>24. November</t>
  </si>
  <si>
    <t>25. November</t>
  </si>
  <si>
    <t>26. November</t>
  </si>
  <si>
    <t>27. November</t>
  </si>
  <si>
    <t>28. November</t>
  </si>
  <si>
    <t>29. November</t>
  </si>
  <si>
    <t>30. November</t>
  </si>
  <si>
    <t>1. Dezember</t>
  </si>
  <si>
    <t>2. Dezember</t>
  </si>
  <si>
    <t>3. Dezember</t>
  </si>
  <si>
    <t>4. Dezember</t>
  </si>
  <si>
    <t>5. Dezember</t>
  </si>
  <si>
    <t>6. Dezember</t>
  </si>
  <si>
    <t>7. Dezember</t>
  </si>
  <si>
    <t>8. Dezember</t>
  </si>
  <si>
    <t>9. Dezember</t>
  </si>
  <si>
    <t>10. Dezember</t>
  </si>
  <si>
    <t>11. Dezember</t>
  </si>
  <si>
    <t>12. Dezember</t>
  </si>
  <si>
    <t>13. Dezember</t>
  </si>
  <si>
    <t>14. Dezember</t>
  </si>
  <si>
    <t>15. Dezember</t>
  </si>
  <si>
    <t>16. Dezember</t>
  </si>
  <si>
    <t>17. Dezember</t>
  </si>
  <si>
    <t>18. Dezember</t>
  </si>
  <si>
    <t>19. Dezember</t>
  </si>
  <si>
    <t>20. Dezember</t>
  </si>
  <si>
    <t>21. Dezember</t>
  </si>
  <si>
    <t>22. Dezember</t>
  </si>
  <si>
    <t>23. Dezember</t>
  </si>
  <si>
    <t>24. Dezember</t>
  </si>
  <si>
    <t>25. Dezember</t>
  </si>
  <si>
    <t>26. Dezember</t>
  </si>
  <si>
    <t>27. Dezember</t>
  </si>
  <si>
    <t>28. Dezember</t>
  </si>
  <si>
    <t>29. Dezember</t>
  </si>
  <si>
    <t>30. Dezember</t>
  </si>
  <si>
    <t>31. Dezember</t>
  </si>
  <si>
    <t>Prof. Dr. Judith Walls</t>
  </si>
  <si>
    <t>oikos Solar</t>
  </si>
  <si>
    <t>Fabian Alberti</t>
  </si>
  <si>
    <t>Update Research Project with Xulu</t>
  </si>
  <si>
    <t xml:space="preserve">Outlook Meeting Fiona Data Analytics + Weekly </t>
  </si>
  <si>
    <t>Weekly (incl. Prep and Docu)</t>
  </si>
  <si>
    <t>Davos Project Proposal Outreach Prep</t>
  </si>
  <si>
    <t>Preperation for Call with Maurice from Swiss Solar Ventures</t>
  </si>
  <si>
    <t>Call with Maurice from Swiss Solar Ventures on potential Collab</t>
  </si>
  <si>
    <t>Davos Feedback Call with Victor</t>
  </si>
  <si>
    <t>Internal Kick-Off Evaluation Tool for SGSW</t>
  </si>
  <si>
    <t>Handover Call + Preperation with Loris</t>
  </si>
  <si>
    <t>Abschlusspräsentation Phase 2 SGSW Consulting Projekt (inklusive Vor- und Nachbereitung)</t>
  </si>
  <si>
    <t>Semester Planung Consulting mit Fynn</t>
  </si>
  <si>
    <t>Semester Planung Marketing, Semester Planung Finance</t>
  </si>
  <si>
    <t>Meeting mit Iron Energy über potenzielle Zusammenarbeit</t>
  </si>
  <si>
    <t>Pitch bei EDW Davos</t>
  </si>
  <si>
    <t>Follow-Up Gespräch mit den SGSW zum Evaluations Tool</t>
  </si>
  <si>
    <t>Kick-Off  mit Maurice von Swiss Solar Ventures zur Zusammenarbeit</t>
  </si>
  <si>
    <t>Semester Planung (individuell)</t>
  </si>
  <si>
    <t>Weekly (inkl. Vor- und Nachbereitung)</t>
  </si>
  <si>
    <t>Review Call mit Viktor zu Davos</t>
  </si>
  <si>
    <t>Research Projekt Orga Call, Project Heads Meeting (oikos)</t>
  </si>
  <si>
    <t>Meeting mit Legal Team zu Vertrag für die Swiss Solar Ventures Collab</t>
  </si>
  <si>
    <t xml:space="preserve">Weekly (inkl. Vor- und Nachbereitung), Davos Proposal Preperation </t>
  </si>
  <si>
    <t>Call mit oikos Board zu Swiss Solar Ventures Collab</t>
  </si>
  <si>
    <t>Recruiting Interview for Consulting und Research Team</t>
  </si>
  <si>
    <t>Absprache Data Insights Team</t>
  </si>
  <si>
    <t>Meeting zu Campus Credits Möglichkeit mit Tommaso</t>
  </si>
  <si>
    <t xml:space="preserve">Weekly (inkl. Vor- und Nachbereitung), Interview Consulting </t>
  </si>
  <si>
    <t>Reserch Teem Orga Meeting, Interview SPM</t>
  </si>
  <si>
    <t>Interview SPM</t>
  </si>
  <si>
    <t>Interview Research, Weekly (inkl. Vor- und Nachbereitung)</t>
  </si>
  <si>
    <t>oikos Kick-Off</t>
  </si>
  <si>
    <t>Weekly SPM Meeting</t>
  </si>
  <si>
    <t>oikos Board Meeting</t>
  </si>
  <si>
    <t>Absprache zu Projektpräsentation bei MaCS mit Lorena</t>
  </si>
  <si>
    <t xml:space="preserve">Lecture Shoutout </t>
  </si>
  <si>
    <t>Meeting zu Finanzen mit Simon und Mathieu</t>
  </si>
  <si>
    <t>Research Project Meeting</t>
  </si>
  <si>
    <t>Call mit Agathe zu SPM Zukunft</t>
  </si>
  <si>
    <t>Meeting mit oikos Catalyst zu Collab, Weekly (inkl. Vor- und Nachbereitung). oikos Project Heads Event</t>
  </si>
  <si>
    <t>Weekly (inkl. Vor- und Nachbereitung). oikos Community Event</t>
  </si>
  <si>
    <t>Meeting mit oikos Catalyst zu Collab, Project Heads Meeting, General Assembly, Weekly (inkl. Vor- und Nachbereitung)</t>
  </si>
  <si>
    <t>Will Projekt Catch Up Meeting mit Fynn und SPM Team</t>
  </si>
  <si>
    <t>oikos Alumni Hike</t>
  </si>
  <si>
    <t>oikos Solar Christmas get together (Orga und Event selbst)</t>
  </si>
  <si>
    <t>Sync mit Board</t>
  </si>
  <si>
    <t>Meeting Board zu Semester Planung</t>
  </si>
  <si>
    <t>oikos Solar EU/CH Stromabkommen Event, Recruiting Post Review Meeting, Weekly (inkl. Vor- und Nachbereitung)</t>
  </si>
  <si>
    <t>Meeting zur Zukunft des SPM Teams</t>
  </si>
  <si>
    <t>Semester Planung Finance mit Simon</t>
  </si>
  <si>
    <t>Review Offerte mit Fynn</t>
  </si>
  <si>
    <t>Semester Planung Data Analytics mit Fiona</t>
  </si>
  <si>
    <t>Data Analytics Planung (2) mit Fiona</t>
  </si>
  <si>
    <t>Weekly (inkl. Vor- und Nachbereitung), Ressourcenplanung Data Analytics</t>
  </si>
  <si>
    <t>Solar x Catalyst Planung (Meetings mit Sophia als auch Ugo von Catalyst)</t>
  </si>
  <si>
    <t>Onboarding neuer Consultants</t>
  </si>
  <si>
    <t>PH Roundatble</t>
  </si>
  <si>
    <t>Weekly (inkl. Vor- und Nachbereitung), oikos Community Event</t>
  </si>
  <si>
    <t>Weekly (inkl. Vor- und Nachbereitung), Planung Community Event oikos Solar</t>
  </si>
  <si>
    <t>Interview Consulting Team</t>
  </si>
  <si>
    <t>Consulting Department Head Übergabe Briefing</t>
  </si>
  <si>
    <t xml:space="preserve">Meeting mit Prof. Pfister zu Consulting Workshop, Campus Credits Info-Event, Full-Team In-Person Meeting </t>
  </si>
  <si>
    <t>Inova Energy x oikos Solar Event</t>
  </si>
  <si>
    <t>Meeting mit Inova Energy zu potenziellem Consulting Projekt</t>
  </si>
  <si>
    <t>PH Roundtable</t>
  </si>
  <si>
    <t>oikos Community get together</t>
  </si>
  <si>
    <t>Next-Gen Impact Forum Fair, oikos Catalyst x Solar Pitching Competition</t>
  </si>
  <si>
    <t>Inova Energy Project Kick-Off. Weekly (inkl. Vor- und Nachbereitung)</t>
  </si>
  <si>
    <t>Finalisierung Vertrag Inova Energy</t>
  </si>
  <si>
    <t>Erstellung Draft Vertrag für Inova Energy in Koordinaiton mit Legal</t>
  </si>
  <si>
    <t>Organisation Notion Workspace</t>
  </si>
  <si>
    <t>Organisation Google Drive Workspace</t>
  </si>
  <si>
    <t>Finalisierung Präsentation Davos Projekt</t>
  </si>
  <si>
    <t xml:space="preserve">Vorbereitung Milestone 2 Präsentation </t>
  </si>
  <si>
    <t>Milestone 2 Präsentation Inova Energy</t>
  </si>
  <si>
    <t>Milestone 1 Präsentation Inova Energy</t>
  </si>
  <si>
    <t>Vorbereitung Milestone 1 Präsentation</t>
  </si>
  <si>
    <t>Programmierung einer Zeiterfassungs-App für unsere Consulting Projekte</t>
  </si>
  <si>
    <t>Beantwortung von externen Anfragen zu oikos Solar Impersonations Scam in den USA</t>
  </si>
  <si>
    <t>Finalisierung Projektvorschlag Inova Energy</t>
  </si>
  <si>
    <t>Meeting zu potenziellem Will Consulting Projekt mit Fynn, Koordination Refund Canva, Review Webseite Vorschlag Sophia</t>
  </si>
  <si>
    <t>Vorbereitung Full-Team Meeting</t>
  </si>
  <si>
    <t>Event mit Maurice von Swiss Solar Ventures</t>
  </si>
  <si>
    <t>Review Projektvorschlag TB Will</t>
  </si>
  <si>
    <t>Meeting mit Emiliano TB Will zu potenzieller Zusammenarbeit</t>
  </si>
  <si>
    <t>Weekly (inkl. Vor- und Nachbereitung), Vorbereitung TB Will Gespräch</t>
  </si>
  <si>
    <t>Erstellung Impact Report</t>
  </si>
  <si>
    <t>Finalisierung Impact Report</t>
  </si>
  <si>
    <t>Umfrage Community Event</t>
  </si>
  <si>
    <t>Weekly (inkl. Vor- und Nachbereitung), Koordination mit Legal Team zu Vertrag für Inova Energy, Erstellung Handover Guideline/Template</t>
  </si>
  <si>
    <t>oikos Solar Strategy Formulierung und Dokumentation</t>
  </si>
  <si>
    <t>Meeting zur Zukunft des Research Teams mit Xulu, Überarbeitung Webseite Design, Ausarbeitung Restrukturierungsplan</t>
  </si>
  <si>
    <t>Handover Agathe, Weekly (inkl. Vor- und Nachbereitung), Erstellung Notion Workspace</t>
  </si>
  <si>
    <t>Aktualisierung oikos Solar Webseite Infos (oikos St. Gallen), Recruiting Positionen Dokumentation</t>
  </si>
  <si>
    <t>Clean Up alter Emails</t>
  </si>
  <si>
    <t>Planung Semester 25, Erarbeitung Dokumentationskonzept</t>
  </si>
  <si>
    <t>Vorbereitung Abschlusspräsentation</t>
  </si>
  <si>
    <t>Review Ergebnisse Phase 2 SGSW</t>
  </si>
  <si>
    <t>Vorbereitung Event mit Swiss Solar Ventures</t>
  </si>
  <si>
    <t>Koordination mit Maurice von Swiss Solar Ventures</t>
  </si>
  <si>
    <t>Abnahme Event Konzept Swiss Solar Ventures</t>
  </si>
  <si>
    <t>Recherche potenzielle Consulting-Leads</t>
  </si>
  <si>
    <t xml:space="preserve">Treffen mit Loris und Christian Opitz für Beratung zur Zukunft von oikos Solar, Dokumentation Ideen </t>
  </si>
  <si>
    <t>Ausarbeitung Strategy und Vision oikos Solar</t>
  </si>
  <si>
    <t>Weiterbearbeitung oikos Solar Strategy</t>
  </si>
  <si>
    <t>Ausarbeitung Restrukturierungskonzept</t>
  </si>
  <si>
    <t>Finalisierung Restrukturierungskonzept</t>
  </si>
  <si>
    <t>Review Budget oikos Solar</t>
  </si>
  <si>
    <t>Erarbeitung Startup Lead Liste für Catalyst Event</t>
  </si>
  <si>
    <t>Koordination mit Catalyst</t>
  </si>
  <si>
    <t>Inova Energy Event Konzept Review mit Sophia (Head of Marketing)</t>
  </si>
  <si>
    <t>Koordination Gewinnspiel SSV</t>
  </si>
  <si>
    <t>Beantwortung von externen Anfragen zu oikos Solar Impersonations Scam in den USA (Mail)</t>
  </si>
  <si>
    <t>Beantwortung von externen Anfragen zu oikos Solar Impersonations Scam in den USA (LinkedIn)</t>
  </si>
  <si>
    <t>Recherche potenzielle Startups für Projekt</t>
  </si>
  <si>
    <t>Semester Planung SPM, Workshop Proposal Review SGSW</t>
  </si>
  <si>
    <t>Vorbereitung Pitch EDW Davos</t>
  </si>
  <si>
    <t>Koordination mit Board zu Projektlage</t>
  </si>
  <si>
    <t>Support Consulting Recherche</t>
  </si>
  <si>
    <t>Review und Ausbesserung Präsentation Milestone 1</t>
  </si>
  <si>
    <t>Gespräch mit potenzielle neuen Head of Consulting</t>
  </si>
  <si>
    <t>2025/2026</t>
  </si>
  <si>
    <t>Consulting x Research Meeting, Erarbeitung Research Refokussierung</t>
  </si>
  <si>
    <t>Aufräumen Monday.com, Gdrive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</si>
</sst>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_ ;[Red]\-0.0\ "/>
    <numFmt numFmtId="165" formatCode="d/\ mmmm\ yyyy"/>
    <numFmt numFmtId="166" formatCode="0.00_ ;[Red]\-0.00\ "/>
    <numFmt numFmtId="167" formatCode="mmmm\ yy"/>
    <numFmt numFmtId="168" formatCode="0.0"/>
  </numFmts>
  <fonts count="10" x14ac:knownFonts="1">
    <font>
      <sz val="10"/>
      <name val="Arial"/>
    </font>
    <font>
      <b/>
      <sz val="16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i/>
      <sz val="12"/>
      <color indexed="8"/>
      <name val="Arial"/>
      <family val="2"/>
    </font>
    <font>
      <b/>
      <i/>
      <sz val="10"/>
      <name val="Arial"/>
      <family val="2"/>
    </font>
    <font>
      <b/>
      <i/>
      <sz val="12"/>
      <name val="Arial"/>
      <family val="2"/>
    </font>
    <font>
      <b/>
      <i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left"/>
    </xf>
    <xf numFmtId="0" fontId="3" fillId="2" borderId="4" xfId="0" quotePrefix="1" applyFont="1" applyFill="1" applyBorder="1"/>
    <xf numFmtId="0" fontId="4" fillId="2" borderId="0" xfId="0" applyFont="1" applyFill="1" applyAlignment="1">
      <alignment horizontal="center"/>
    </xf>
    <xf numFmtId="164" fontId="4" fillId="2" borderId="5" xfId="0" applyNumberFormat="1" applyFont="1" applyFill="1" applyBorder="1" applyAlignment="1">
      <alignment horizontal="center"/>
    </xf>
    <xf numFmtId="0" fontId="5" fillId="2" borderId="6" xfId="0" applyFont="1" applyFill="1" applyBorder="1"/>
    <xf numFmtId="17" fontId="5" fillId="2" borderId="7" xfId="0" applyNumberFormat="1" applyFont="1" applyFill="1" applyBorder="1"/>
    <xf numFmtId="164" fontId="4" fillId="2" borderId="8" xfId="0" applyNumberFormat="1" applyFont="1" applyFill="1" applyBorder="1" applyAlignment="1">
      <alignment horizontal="center"/>
    </xf>
    <xf numFmtId="0" fontId="0" fillId="0" borderId="4" xfId="0" applyBorder="1"/>
    <xf numFmtId="164" fontId="6" fillId="0" borderId="0" xfId="0" applyNumberFormat="1" applyFont="1" applyAlignment="1" applyProtection="1">
      <alignment horizontal="center" vertical="top"/>
      <protection locked="0"/>
    </xf>
    <xf numFmtId="0" fontId="5" fillId="0" borderId="5" xfId="0" applyFont="1" applyBorder="1" applyAlignment="1">
      <alignment vertical="top"/>
    </xf>
    <xf numFmtId="0" fontId="0" fillId="2" borderId="9" xfId="0" applyFill="1" applyBorder="1"/>
    <xf numFmtId="164" fontId="0" fillId="2" borderId="9" xfId="0" applyNumberFormat="1" applyFill="1" applyBorder="1" applyAlignment="1">
      <alignment horizontal="center"/>
    </xf>
    <xf numFmtId="0" fontId="0" fillId="2" borderId="3" xfId="0" applyFill="1" applyBorder="1"/>
    <xf numFmtId="0" fontId="0" fillId="2" borderId="10" xfId="0" applyFill="1" applyBorder="1"/>
    <xf numFmtId="164" fontId="0" fillId="2" borderId="11" xfId="0" applyNumberFormat="1" applyFill="1" applyBorder="1" applyAlignment="1">
      <alignment horizontal="center"/>
    </xf>
    <xf numFmtId="0" fontId="0" fillId="2" borderId="5" xfId="0" applyFill="1" applyBorder="1"/>
    <xf numFmtId="165" fontId="0" fillId="0" borderId="12" xfId="0" applyNumberFormat="1" applyBorder="1"/>
    <xf numFmtId="164" fontId="0" fillId="0" borderId="13" xfId="0" applyNumberFormat="1" applyBorder="1" applyAlignment="1">
      <alignment horizontal="center"/>
    </xf>
    <xf numFmtId="0" fontId="0" fillId="0" borderId="14" xfId="0" applyBorder="1"/>
    <xf numFmtId="165" fontId="0" fillId="0" borderId="15" xfId="0" applyNumberFormat="1" applyBorder="1"/>
    <xf numFmtId="164" fontId="0" fillId="0" borderId="15" xfId="0" applyNumberFormat="1" applyBorder="1" applyAlignment="1">
      <alignment horizontal="center"/>
    </xf>
    <xf numFmtId="0" fontId="0" fillId="0" borderId="16" xfId="0" applyBorder="1"/>
    <xf numFmtId="164" fontId="0" fillId="0" borderId="17" xfId="0" applyNumberFormat="1" applyBorder="1" applyAlignment="1">
      <alignment horizontal="center"/>
    </xf>
    <xf numFmtId="0" fontId="0" fillId="0" borderId="18" xfId="0" applyBorder="1"/>
    <xf numFmtId="164" fontId="0" fillId="0" borderId="0" xfId="0" applyNumberFormat="1" applyAlignment="1">
      <alignment horizontal="center"/>
    </xf>
    <xf numFmtId="0" fontId="0" fillId="0" borderId="5" xfId="0" applyBorder="1"/>
    <xf numFmtId="0" fontId="4" fillId="2" borderId="19" xfId="0" applyFont="1" applyFill="1" applyBorder="1"/>
    <xf numFmtId="164" fontId="4" fillId="2" borderId="20" xfId="0" applyNumberFormat="1" applyFont="1" applyFill="1" applyBorder="1" applyAlignment="1">
      <alignment horizontal="center"/>
    </xf>
    <xf numFmtId="0" fontId="4" fillId="2" borderId="9" xfId="0" applyFont="1" applyFill="1" applyBorder="1"/>
    <xf numFmtId="0" fontId="4" fillId="2" borderId="10" xfId="0" applyFont="1" applyFill="1" applyBorder="1"/>
    <xf numFmtId="166" fontId="4" fillId="2" borderId="7" xfId="0" applyNumberFormat="1" applyFont="1" applyFill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left"/>
    </xf>
    <xf numFmtId="0" fontId="3" fillId="0" borderId="0" xfId="0" applyFont="1"/>
    <xf numFmtId="0" fontId="5" fillId="0" borderId="0" xfId="0" applyFont="1"/>
    <xf numFmtId="0" fontId="0" fillId="0" borderId="1" xfId="0" applyBorder="1"/>
    <xf numFmtId="0" fontId="5" fillId="3" borderId="1" xfId="0" applyFont="1" applyFill="1" applyBorder="1"/>
    <xf numFmtId="0" fontId="5" fillId="3" borderId="3" xfId="0" applyFont="1" applyFill="1" applyBorder="1"/>
    <xf numFmtId="0" fontId="0" fillId="0" borderId="21" xfId="0" applyBorder="1"/>
    <xf numFmtId="0" fontId="5" fillId="4" borderId="22" xfId="0" applyFont="1" applyFill="1" applyBorder="1" applyAlignment="1">
      <alignment horizontal="center"/>
    </xf>
    <xf numFmtId="0" fontId="5" fillId="5" borderId="23" xfId="0" applyFont="1" applyFill="1" applyBorder="1" applyAlignment="1">
      <alignment horizontal="center"/>
    </xf>
    <xf numFmtId="167" fontId="0" fillId="0" borderId="24" xfId="0" applyNumberFormat="1" applyBorder="1"/>
    <xf numFmtId="168" fontId="0" fillId="0" borderId="25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5" fillId="0" borderId="0" xfId="0" applyFont="1" applyAlignment="1">
      <alignment vertical="top"/>
    </xf>
    <xf numFmtId="165" fontId="0" fillId="0" borderId="24" xfId="0" applyNumberFormat="1" applyBorder="1"/>
    <xf numFmtId="2" fontId="0" fillId="0" borderId="26" xfId="0" applyNumberFormat="1" applyBorder="1"/>
    <xf numFmtId="165" fontId="0" fillId="0" borderId="27" xfId="0" applyNumberFormat="1" applyBorder="1" applyAlignment="1">
      <alignment horizontal="right"/>
    </xf>
    <xf numFmtId="168" fontId="0" fillId="0" borderId="28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165" fontId="0" fillId="0" borderId="0" xfId="0" applyNumberFormat="1"/>
    <xf numFmtId="0" fontId="8" fillId="0" borderId="0" xfId="0" applyFont="1"/>
    <xf numFmtId="0" fontId="7" fillId="0" borderId="0" xfId="0" applyFont="1"/>
    <xf numFmtId="0" fontId="9" fillId="0" borderId="0" xfId="0" applyFont="1"/>
    <xf numFmtId="49" fontId="3" fillId="0" borderId="12" xfId="0" applyNumberFormat="1" applyFont="1" applyBorder="1"/>
    <xf numFmtId="49" fontId="0" fillId="0" borderId="15" xfId="0" applyNumberFormat="1" applyBorder="1"/>
    <xf numFmtId="49" fontId="3" fillId="0" borderId="15" xfId="0" applyNumberFormat="1" applyFont="1" applyBorder="1"/>
    <xf numFmtId="0" fontId="3" fillId="0" borderId="14" xfId="0" applyFont="1" applyBorder="1"/>
    <xf numFmtId="0" fontId="3" fillId="0" borderId="16" xfId="0" applyFont="1" applyBorder="1"/>
    <xf numFmtId="0" fontId="3" fillId="0" borderId="18" xfId="0" applyFont="1" applyBorder="1"/>
    <xf numFmtId="49" fontId="3" fillId="0" borderId="0" xfId="0" applyNumberFormat="1" applyFont="1" applyProtection="1"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54"/>
  <sheetViews>
    <sheetView view="pageBreakPreview" zoomScale="60" zoomScaleNormal="81" workbookViewId="0">
      <selection activeCell="F9" sqref="F9"/>
    </sheetView>
  </sheetViews>
  <sheetFormatPr baseColWidth="10" defaultColWidth="11.33203125" defaultRowHeight="13" x14ac:dyDescent="0.15"/>
  <cols>
    <col min="3" max="3" width="14.6640625" customWidth="1"/>
    <col min="5" max="5" width="12.6640625" customWidth="1"/>
  </cols>
  <sheetData>
    <row r="2" spans="3:6" ht="16" x14ac:dyDescent="0.2">
      <c r="C2" s="55" t="s">
        <v>0</v>
      </c>
      <c r="E2" s="64" t="s">
        <v>402</v>
      </c>
    </row>
    <row r="3" spans="3:6" ht="16" x14ac:dyDescent="0.2">
      <c r="C3" s="38"/>
    </row>
    <row r="4" spans="3:6" ht="16" x14ac:dyDescent="0.2">
      <c r="C4" s="38" t="s">
        <v>1</v>
      </c>
      <c r="E4" s="64" t="s">
        <v>524</v>
      </c>
    </row>
    <row r="5" spans="3:6" ht="16" x14ac:dyDescent="0.2">
      <c r="C5" s="38"/>
    </row>
    <row r="6" spans="3:6" ht="16" x14ac:dyDescent="0.2">
      <c r="C6" s="55" t="s">
        <v>2</v>
      </c>
      <c r="E6" s="64" t="s">
        <v>403</v>
      </c>
    </row>
    <row r="7" spans="3:6" ht="16" x14ac:dyDescent="0.2">
      <c r="C7" s="38"/>
    </row>
    <row r="8" spans="3:6" ht="16" x14ac:dyDescent="0.2">
      <c r="C8" s="55" t="s">
        <v>3</v>
      </c>
      <c r="F8" s="37" t="s">
        <v>401</v>
      </c>
    </row>
    <row r="9" spans="3:6" ht="16" x14ac:dyDescent="0.2">
      <c r="C9" s="55"/>
    </row>
    <row r="10" spans="3:6" ht="14.25" customHeight="1" x14ac:dyDescent="0.2">
      <c r="C10" s="34"/>
      <c r="D10" s="35"/>
      <c r="E10" s="36"/>
      <c r="F10" s="37"/>
    </row>
    <row r="11" spans="3:6" ht="16" x14ac:dyDescent="0.2">
      <c r="C11" s="38" t="s">
        <v>4</v>
      </c>
      <c r="F11" s="37"/>
    </row>
    <row r="12" spans="3:6" ht="17" thickBot="1" x14ac:dyDescent="0.25">
      <c r="C12" s="38"/>
      <c r="F12" s="37"/>
    </row>
    <row r="13" spans="3:6" ht="17" thickBot="1" x14ac:dyDescent="0.25">
      <c r="C13" s="39"/>
      <c r="D13" s="40" t="s">
        <v>5</v>
      </c>
      <c r="E13" s="41"/>
      <c r="F13" s="37"/>
    </row>
    <row r="14" spans="3:6" ht="16" x14ac:dyDescent="0.2">
      <c r="C14" s="42"/>
      <c r="D14" s="43" t="s">
        <v>6</v>
      </c>
      <c r="E14" s="44" t="s">
        <v>7</v>
      </c>
      <c r="F14" s="37"/>
    </row>
    <row r="15" spans="3:6" ht="15.75" customHeight="1" x14ac:dyDescent="0.15">
      <c r="C15" s="45" t="s">
        <v>8</v>
      </c>
      <c r="D15" s="46">
        <f>Jan!C43</f>
        <v>38</v>
      </c>
      <c r="E15" s="47">
        <f t="shared" ref="E15:E26" si="0">D15/8</f>
        <v>4.75</v>
      </c>
      <c r="F15" s="37"/>
    </row>
    <row r="16" spans="3:6" ht="15.75" customHeight="1" x14ac:dyDescent="0.15">
      <c r="C16" s="45" t="s">
        <v>9</v>
      </c>
      <c r="D16" s="46">
        <f>Feb!C43</f>
        <v>34.5</v>
      </c>
      <c r="E16" s="47">
        <f t="shared" si="0"/>
        <v>4.3125</v>
      </c>
      <c r="F16" s="48"/>
    </row>
    <row r="17" spans="3:6" ht="15.75" customHeight="1" x14ac:dyDescent="0.15">
      <c r="C17" s="45" t="s">
        <v>10</v>
      </c>
      <c r="D17" s="46">
        <f>März!C43</f>
        <v>45.5</v>
      </c>
      <c r="E17" s="47">
        <f t="shared" si="0"/>
        <v>5.6875</v>
      </c>
      <c r="F17" s="48"/>
    </row>
    <row r="18" spans="3:6" ht="15.75" customHeight="1" x14ac:dyDescent="0.15">
      <c r="C18" s="45" t="s">
        <v>11</v>
      </c>
      <c r="D18" s="46">
        <f>April!C43</f>
        <v>43.5</v>
      </c>
      <c r="E18" s="47">
        <f t="shared" si="0"/>
        <v>5.4375</v>
      </c>
    </row>
    <row r="19" spans="3:6" ht="15.75" customHeight="1" x14ac:dyDescent="0.15">
      <c r="C19" s="45" t="s">
        <v>12</v>
      </c>
      <c r="D19" s="46">
        <f>Mai!C43</f>
        <v>22.5</v>
      </c>
      <c r="E19" s="47">
        <f t="shared" si="0"/>
        <v>2.8125</v>
      </c>
    </row>
    <row r="20" spans="3:6" ht="15.75" customHeight="1" x14ac:dyDescent="0.15">
      <c r="C20" s="45" t="s">
        <v>13</v>
      </c>
      <c r="D20" s="46">
        <f>Juni!C42</f>
        <v>14.5</v>
      </c>
      <c r="E20" s="47">
        <f t="shared" si="0"/>
        <v>1.8125</v>
      </c>
    </row>
    <row r="21" spans="3:6" ht="15.75" customHeight="1" x14ac:dyDescent="0.15">
      <c r="C21" s="45" t="s">
        <v>14</v>
      </c>
      <c r="D21" s="46">
        <f>Juli!C43</f>
        <v>21</v>
      </c>
      <c r="E21" s="47">
        <f t="shared" si="0"/>
        <v>2.625</v>
      </c>
    </row>
    <row r="22" spans="3:6" ht="15.75" customHeight="1" x14ac:dyDescent="0.15">
      <c r="C22" s="45" t="s">
        <v>15</v>
      </c>
      <c r="D22" s="46">
        <f>Aug!C43</f>
        <v>38.5</v>
      </c>
      <c r="E22" s="47">
        <f t="shared" si="0"/>
        <v>4.8125</v>
      </c>
    </row>
    <row r="23" spans="3:6" ht="15.75" customHeight="1" x14ac:dyDescent="0.15">
      <c r="C23" s="45" t="s">
        <v>16</v>
      </c>
      <c r="D23" s="46">
        <f>Sept!C42</f>
        <v>31</v>
      </c>
      <c r="E23" s="47">
        <f t="shared" si="0"/>
        <v>3.875</v>
      </c>
    </row>
    <row r="24" spans="3:6" ht="15.75" customHeight="1" x14ac:dyDescent="0.15">
      <c r="C24" s="45" t="s">
        <v>17</v>
      </c>
      <c r="D24" s="46">
        <f>Okt!C43</f>
        <v>33.5</v>
      </c>
      <c r="E24" s="47">
        <f t="shared" si="0"/>
        <v>4.1875</v>
      </c>
    </row>
    <row r="25" spans="3:6" ht="15.75" customHeight="1" x14ac:dyDescent="0.15">
      <c r="C25" s="45" t="s">
        <v>18</v>
      </c>
      <c r="D25" s="46">
        <f>Nov!C42</f>
        <v>29.5</v>
      </c>
      <c r="E25" s="47">
        <f t="shared" si="0"/>
        <v>3.6875</v>
      </c>
    </row>
    <row r="26" spans="3:6" ht="15.75" customHeight="1" x14ac:dyDescent="0.15">
      <c r="C26" s="45" t="s">
        <v>19</v>
      </c>
      <c r="D26" s="46">
        <f>Dez!C43</f>
        <v>29.5</v>
      </c>
      <c r="E26" s="47">
        <f t="shared" si="0"/>
        <v>3.6875</v>
      </c>
    </row>
    <row r="27" spans="3:6" x14ac:dyDescent="0.15">
      <c r="C27" s="49"/>
      <c r="D27" s="46"/>
      <c r="E27" s="50"/>
    </row>
    <row r="28" spans="3:6" ht="14" thickBot="1" x14ac:dyDescent="0.2">
      <c r="C28" s="51" t="s">
        <v>20</v>
      </c>
      <c r="D28" s="52">
        <f>SUM(D15:D27)</f>
        <v>381.5</v>
      </c>
      <c r="E28" s="53">
        <f>SUM(E15:E27)</f>
        <v>47.6875</v>
      </c>
    </row>
    <row r="29" spans="3:6" x14ac:dyDescent="0.15">
      <c r="C29" s="54"/>
      <c r="D29" s="27"/>
    </row>
    <row r="32" spans="3:6" x14ac:dyDescent="0.15">
      <c r="C32" t="s">
        <v>21</v>
      </c>
    </row>
    <row r="34" spans="3:3" ht="6.75" customHeight="1" x14ac:dyDescent="0.15"/>
    <row r="35" spans="3:3" x14ac:dyDescent="0.15">
      <c r="C35" t="s">
        <v>22</v>
      </c>
    </row>
    <row r="39" spans="3:3" x14ac:dyDescent="0.15">
      <c r="C39" t="s">
        <v>23</v>
      </c>
    </row>
    <row r="41" spans="3:3" ht="6.75" customHeight="1" x14ac:dyDescent="0.15"/>
    <row r="42" spans="3:3" x14ac:dyDescent="0.15">
      <c r="C42" t="s">
        <v>22</v>
      </c>
    </row>
    <row r="46" spans="3:3" x14ac:dyDescent="0.15">
      <c r="C46" t="s">
        <v>24</v>
      </c>
    </row>
    <row r="48" spans="3:3" ht="6.75" customHeight="1" x14ac:dyDescent="0.15"/>
    <row r="49" spans="3:3" x14ac:dyDescent="0.15">
      <c r="C49" t="s">
        <v>22</v>
      </c>
    </row>
    <row r="52" spans="3:3" x14ac:dyDescent="0.15">
      <c r="C52" s="56" t="s">
        <v>25</v>
      </c>
    </row>
    <row r="53" spans="3:3" x14ac:dyDescent="0.15">
      <c r="C53" s="56" t="s">
        <v>26</v>
      </c>
    </row>
    <row r="54" spans="3:3" x14ac:dyDescent="0.15">
      <c r="C54" s="56" t="s">
        <v>27</v>
      </c>
    </row>
  </sheetData>
  <phoneticPr fontId="0" type="noConversion"/>
  <pageMargins left="1.5748031496062993" right="0.78740157480314965" top="0.98425196850393704" bottom="0.78740157480314965" header="0.51181102362204722" footer="0.51181102362204722"/>
  <pageSetup paperSize="9" scale="7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5"/>
  <sheetViews>
    <sheetView view="pageBreakPreview" zoomScale="60" zoomScaleNormal="119" workbookViewId="0">
      <selection activeCell="E38" sqref="E38"/>
    </sheetView>
  </sheetViews>
  <sheetFormatPr baseColWidth="10" defaultColWidth="11.33203125" defaultRowHeight="13" x14ac:dyDescent="0.15"/>
  <cols>
    <col min="2" max="2" width="18.6640625" customWidth="1"/>
    <col min="3" max="3" width="12" customWidth="1"/>
    <col min="4" max="4" width="133" customWidth="1"/>
  </cols>
  <sheetData>
    <row r="2" spans="2:4" ht="21" customHeight="1" x14ac:dyDescent="0.2">
      <c r="B2" s="57" t="s">
        <v>403</v>
      </c>
      <c r="C2" s="57"/>
      <c r="D2" s="57" t="s">
        <v>402</v>
      </c>
    </row>
    <row r="3" spans="2:4" ht="5.25" customHeight="1" thickBot="1" x14ac:dyDescent="0.2"/>
    <row r="4" spans="2:4" ht="20" x14ac:dyDescent="0.2">
      <c r="B4" s="1" t="s">
        <v>28</v>
      </c>
      <c r="C4" s="2"/>
      <c r="D4" s="3"/>
    </row>
    <row r="5" spans="2:4" x14ac:dyDescent="0.15">
      <c r="B5" s="4" t="s">
        <v>29</v>
      </c>
      <c r="C5" s="5"/>
      <c r="D5" s="6"/>
    </row>
    <row r="6" spans="2:4" x14ac:dyDescent="0.15">
      <c r="B6" s="4" t="s">
        <v>30</v>
      </c>
      <c r="C6" s="5"/>
      <c r="D6" s="6"/>
    </row>
    <row r="7" spans="2:4" ht="17" thickBot="1" x14ac:dyDescent="0.25">
      <c r="B7" s="7" t="s">
        <v>31</v>
      </c>
      <c r="C7" s="8" t="str">
        <f>'Total Aufwand'!C15</f>
        <v>Januar</v>
      </c>
      <c r="D7" s="9"/>
    </row>
    <row r="8" spans="2:4" ht="5.25" customHeight="1" thickBot="1" x14ac:dyDescent="0.2">
      <c r="B8" s="10"/>
      <c r="C8" s="11"/>
      <c r="D8" s="12"/>
    </row>
    <row r="9" spans="2:4" x14ac:dyDescent="0.15">
      <c r="B9" s="13" t="s">
        <v>32</v>
      </c>
      <c r="C9" s="14" t="s">
        <v>5</v>
      </c>
      <c r="D9" s="15" t="s">
        <v>33</v>
      </c>
    </row>
    <row r="10" spans="2:4" ht="14" thickBot="1" x14ac:dyDescent="0.2">
      <c r="B10" s="16"/>
      <c r="C10" s="17" t="s">
        <v>6</v>
      </c>
      <c r="D10" s="18"/>
    </row>
    <row r="11" spans="2:4" ht="15.75" customHeight="1" x14ac:dyDescent="0.15">
      <c r="B11" s="58" t="s">
        <v>34</v>
      </c>
      <c r="C11" s="20"/>
      <c r="D11" s="21"/>
    </row>
    <row r="12" spans="2:4" ht="15.75" customHeight="1" x14ac:dyDescent="0.15">
      <c r="B12" s="58" t="s">
        <v>35</v>
      </c>
      <c r="C12" s="23">
        <v>1</v>
      </c>
      <c r="D12" s="62" t="s">
        <v>513</v>
      </c>
    </row>
    <row r="13" spans="2:4" ht="15.75" customHeight="1" x14ac:dyDescent="0.15">
      <c r="B13" s="58" t="s">
        <v>36</v>
      </c>
      <c r="C13" s="23">
        <v>1</v>
      </c>
      <c r="D13" s="62" t="s">
        <v>514</v>
      </c>
    </row>
    <row r="14" spans="2:4" ht="15.75" customHeight="1" x14ac:dyDescent="0.15">
      <c r="B14" s="58" t="s">
        <v>37</v>
      </c>
      <c r="C14" s="23"/>
      <c r="D14" s="24"/>
    </row>
    <row r="15" spans="2:4" ht="15.75" customHeight="1" x14ac:dyDescent="0.15">
      <c r="B15" s="58" t="s">
        <v>38</v>
      </c>
      <c r="C15" s="23"/>
      <c r="D15" s="24"/>
    </row>
    <row r="16" spans="2:4" ht="15.75" customHeight="1" x14ac:dyDescent="0.15">
      <c r="B16" s="58" t="s">
        <v>39</v>
      </c>
      <c r="C16" s="23">
        <v>2</v>
      </c>
      <c r="D16" s="62" t="s">
        <v>421</v>
      </c>
    </row>
    <row r="17" spans="2:4" ht="15.75" customHeight="1" x14ac:dyDescent="0.15">
      <c r="B17" s="58" t="s">
        <v>40</v>
      </c>
      <c r="C17" s="23"/>
      <c r="D17" s="24"/>
    </row>
    <row r="18" spans="2:4" ht="15.75" customHeight="1" x14ac:dyDescent="0.15">
      <c r="B18" s="58" t="s">
        <v>41</v>
      </c>
      <c r="C18" s="23"/>
      <c r="D18" s="24"/>
    </row>
    <row r="19" spans="2:4" ht="15.75" customHeight="1" x14ac:dyDescent="0.15">
      <c r="B19" s="58" t="s">
        <v>42</v>
      </c>
      <c r="C19" s="23"/>
      <c r="D19" s="24"/>
    </row>
    <row r="20" spans="2:4" ht="15.75" customHeight="1" x14ac:dyDescent="0.15">
      <c r="B20" s="58" t="s">
        <v>43</v>
      </c>
      <c r="C20" s="23">
        <v>2</v>
      </c>
      <c r="D20" s="62" t="s">
        <v>515</v>
      </c>
    </row>
    <row r="21" spans="2:4" ht="15.75" customHeight="1" x14ac:dyDescent="0.15">
      <c r="B21" s="58" t="s">
        <v>44</v>
      </c>
      <c r="C21" s="23"/>
      <c r="D21" s="24"/>
    </row>
    <row r="22" spans="2:4" ht="15.75" customHeight="1" x14ac:dyDescent="0.15">
      <c r="B22" s="58" t="s">
        <v>45</v>
      </c>
      <c r="C22" s="23"/>
      <c r="D22" s="24"/>
    </row>
    <row r="23" spans="2:4" ht="15.75" customHeight="1" x14ac:dyDescent="0.15">
      <c r="B23" s="58" t="s">
        <v>46</v>
      </c>
      <c r="C23" s="23"/>
      <c r="D23" s="24"/>
    </row>
    <row r="24" spans="2:4" ht="15.75" customHeight="1" x14ac:dyDescent="0.15">
      <c r="B24" s="58" t="s">
        <v>47</v>
      </c>
      <c r="C24" s="23">
        <v>1.5</v>
      </c>
      <c r="D24" s="62" t="s">
        <v>516</v>
      </c>
    </row>
    <row r="25" spans="2:4" ht="15.75" customHeight="1" x14ac:dyDescent="0.15">
      <c r="B25" s="58" t="s">
        <v>48</v>
      </c>
      <c r="C25" s="23"/>
      <c r="D25" s="24"/>
    </row>
    <row r="26" spans="2:4" ht="15.75" customHeight="1" x14ac:dyDescent="0.15">
      <c r="B26" s="58" t="s">
        <v>49</v>
      </c>
      <c r="C26" s="23">
        <v>3</v>
      </c>
      <c r="D26" s="62" t="s">
        <v>526</v>
      </c>
    </row>
    <row r="27" spans="2:4" ht="15.75" customHeight="1" x14ac:dyDescent="0.15">
      <c r="B27" s="58" t="s">
        <v>50</v>
      </c>
      <c r="C27" s="23"/>
      <c r="D27" s="24"/>
    </row>
    <row r="28" spans="2:4" ht="15.75" customHeight="1" x14ac:dyDescent="0.15">
      <c r="B28" s="58" t="s">
        <v>51</v>
      </c>
      <c r="C28" s="23">
        <v>3</v>
      </c>
      <c r="D28" s="62" t="s">
        <v>509</v>
      </c>
    </row>
    <row r="29" spans="2:4" ht="15.75" customHeight="1" x14ac:dyDescent="0.15">
      <c r="B29" s="58" t="s">
        <v>52</v>
      </c>
      <c r="C29" s="23">
        <v>4</v>
      </c>
      <c r="D29" s="62" t="s">
        <v>449</v>
      </c>
    </row>
    <row r="30" spans="2:4" ht="15.75" customHeight="1" x14ac:dyDescent="0.15">
      <c r="B30" s="58" t="s">
        <v>53</v>
      </c>
      <c r="C30" s="23">
        <v>6.5</v>
      </c>
      <c r="D30" s="62" t="s">
        <v>495</v>
      </c>
    </row>
    <row r="31" spans="2:4" ht="15.75" customHeight="1" x14ac:dyDescent="0.15">
      <c r="B31" s="58" t="s">
        <v>54</v>
      </c>
      <c r="C31" s="23">
        <v>1.5</v>
      </c>
      <c r="D31" s="62" t="s">
        <v>493</v>
      </c>
    </row>
    <row r="32" spans="2:4" ht="15.75" customHeight="1" x14ac:dyDescent="0.15">
      <c r="B32" s="58" t="s">
        <v>55</v>
      </c>
      <c r="C32" s="23"/>
      <c r="D32" s="24"/>
    </row>
    <row r="33" spans="2:4" ht="15.75" customHeight="1" x14ac:dyDescent="0.15">
      <c r="B33" s="58" t="s">
        <v>56</v>
      </c>
      <c r="C33" s="23"/>
      <c r="D33" s="24"/>
    </row>
    <row r="34" spans="2:4" ht="15.75" customHeight="1" x14ac:dyDescent="0.15">
      <c r="B34" s="58" t="s">
        <v>57</v>
      </c>
      <c r="C34" s="23"/>
      <c r="D34" s="24"/>
    </row>
    <row r="35" spans="2:4" ht="15.75" customHeight="1" x14ac:dyDescent="0.15">
      <c r="B35" s="58" t="s">
        <v>58</v>
      </c>
      <c r="C35" s="23">
        <v>1</v>
      </c>
      <c r="D35" s="62" t="s">
        <v>520</v>
      </c>
    </row>
    <row r="36" spans="2:4" ht="15.75" customHeight="1" x14ac:dyDescent="0.15">
      <c r="B36" s="58" t="s">
        <v>59</v>
      </c>
      <c r="C36" s="23">
        <v>5</v>
      </c>
      <c r="D36" s="62" t="s">
        <v>483</v>
      </c>
    </row>
    <row r="37" spans="2:4" ht="15.75" customHeight="1" x14ac:dyDescent="0.15">
      <c r="B37" s="58" t="s">
        <v>60</v>
      </c>
      <c r="C37" s="23">
        <v>4.5</v>
      </c>
      <c r="D37" s="62" t="s">
        <v>450</v>
      </c>
    </row>
    <row r="38" spans="2:4" ht="15.75" customHeight="1" x14ac:dyDescent="0.15">
      <c r="B38" s="58" t="s">
        <v>61</v>
      </c>
      <c r="C38" s="23"/>
      <c r="D38" s="24"/>
    </row>
    <row r="39" spans="2:4" ht="15.75" customHeight="1" x14ac:dyDescent="0.15">
      <c r="B39" s="58" t="s">
        <v>62</v>
      </c>
      <c r="C39" s="23"/>
      <c r="D39" s="24"/>
    </row>
    <row r="40" spans="2:4" ht="15.75" customHeight="1" x14ac:dyDescent="0.15">
      <c r="B40" s="58" t="s">
        <v>63</v>
      </c>
      <c r="C40" s="23">
        <v>2</v>
      </c>
      <c r="D40" s="62" t="s">
        <v>451</v>
      </c>
    </row>
    <row r="41" spans="2:4" ht="15.75" customHeight="1" thickBot="1" x14ac:dyDescent="0.2">
      <c r="B41" s="58" t="s">
        <v>64</v>
      </c>
      <c r="C41" s="25"/>
      <c r="D41" s="26"/>
    </row>
    <row r="42" spans="2:4" ht="6.75" customHeight="1" thickBot="1" x14ac:dyDescent="0.2">
      <c r="B42" s="10"/>
      <c r="C42" s="27"/>
      <c r="D42" s="28"/>
    </row>
    <row r="43" spans="2:4" ht="14" thickBot="1" x14ac:dyDescent="0.2">
      <c r="B43" s="29" t="s">
        <v>65</v>
      </c>
      <c r="C43" s="30">
        <f>SUM(C11:C41)</f>
        <v>38</v>
      </c>
      <c r="D43" s="31"/>
    </row>
    <row r="44" spans="2:4" ht="14" thickBot="1" x14ac:dyDescent="0.2">
      <c r="B44" s="32" t="s">
        <v>66</v>
      </c>
      <c r="C44" s="33">
        <f>C43/8</f>
        <v>4.75</v>
      </c>
      <c r="D44" s="32"/>
    </row>
    <row r="45" spans="2:4" ht="6.75" customHeight="1" x14ac:dyDescent="0.15">
      <c r="C45" s="27"/>
    </row>
  </sheetData>
  <phoneticPr fontId="0" type="noConversion"/>
  <pageMargins left="0.78740157480314965" right="0.78740157480314965" top="0.39370078740157483" bottom="0.39370078740157483" header="0.51181102362204722" footer="0.51181102362204722"/>
  <pageSetup paperSize="9" scale="6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45"/>
  <sheetViews>
    <sheetView tabSelected="1" view="pageBreakPreview" zoomScale="60" zoomScaleNormal="87" workbookViewId="0">
      <selection activeCell="F54" sqref="F54"/>
    </sheetView>
  </sheetViews>
  <sheetFormatPr baseColWidth="10" defaultColWidth="11.33203125" defaultRowHeight="13" x14ac:dyDescent="0.15"/>
  <cols>
    <col min="2" max="2" width="18.6640625" customWidth="1"/>
    <col min="3" max="3" width="12" customWidth="1"/>
    <col min="4" max="4" width="133" customWidth="1"/>
  </cols>
  <sheetData>
    <row r="2" spans="2:4" ht="21" customHeight="1" x14ac:dyDescent="0.2">
      <c r="B2" s="57" t="s">
        <v>403</v>
      </c>
      <c r="C2" s="57"/>
      <c r="D2" s="57" t="s">
        <v>402</v>
      </c>
    </row>
    <row r="3" spans="2:4" ht="5.25" customHeight="1" thickBot="1" x14ac:dyDescent="0.2"/>
    <row r="4" spans="2:4" ht="20" x14ac:dyDescent="0.2">
      <c r="B4" s="1" t="s">
        <v>28</v>
      </c>
      <c r="C4" s="2"/>
      <c r="D4" s="3"/>
    </row>
    <row r="5" spans="2:4" x14ac:dyDescent="0.15">
      <c r="B5" s="4" t="s">
        <v>29</v>
      </c>
      <c r="C5" s="5"/>
      <c r="D5" s="6"/>
    </row>
    <row r="6" spans="2:4" x14ac:dyDescent="0.15">
      <c r="B6" s="4" t="s">
        <v>30</v>
      </c>
      <c r="C6" s="5"/>
      <c r="D6" s="6"/>
    </row>
    <row r="7" spans="2:4" ht="17" thickBot="1" x14ac:dyDescent="0.25">
      <c r="B7" s="7" t="s">
        <v>31</v>
      </c>
      <c r="C7" s="8" t="str">
        <f>'Total Aufwand'!C16</f>
        <v>Februar</v>
      </c>
      <c r="D7" s="9"/>
    </row>
    <row r="8" spans="2:4" ht="5.25" customHeight="1" thickBot="1" x14ac:dyDescent="0.2">
      <c r="B8" s="10"/>
      <c r="C8" s="11"/>
      <c r="D8" s="12"/>
    </row>
    <row r="9" spans="2:4" x14ac:dyDescent="0.15">
      <c r="B9" s="13" t="s">
        <v>32</v>
      </c>
      <c r="C9" s="14" t="s">
        <v>5</v>
      </c>
      <c r="D9" s="15" t="s">
        <v>33</v>
      </c>
    </row>
    <row r="10" spans="2:4" ht="14" thickBot="1" x14ac:dyDescent="0.2">
      <c r="B10" s="16"/>
      <c r="C10" s="17" t="s">
        <v>6</v>
      </c>
      <c r="D10" s="18"/>
    </row>
    <row r="11" spans="2:4" ht="15.75" customHeight="1" x14ac:dyDescent="0.15">
      <c r="B11" s="58" t="s">
        <v>67</v>
      </c>
      <c r="C11" s="20">
        <v>7</v>
      </c>
      <c r="D11" s="61" t="s">
        <v>494</v>
      </c>
    </row>
    <row r="12" spans="2:4" ht="15.75" customHeight="1" x14ac:dyDescent="0.15">
      <c r="B12" s="58" t="s">
        <v>68</v>
      </c>
      <c r="C12" s="23">
        <v>2</v>
      </c>
      <c r="D12" s="62" t="s">
        <v>452</v>
      </c>
    </row>
    <row r="13" spans="2:4" ht="15.75" customHeight="1" x14ac:dyDescent="0.15">
      <c r="B13" s="58" t="s">
        <v>69</v>
      </c>
      <c r="C13" s="23">
        <v>4</v>
      </c>
      <c r="D13" s="62" t="s">
        <v>488</v>
      </c>
    </row>
    <row r="14" spans="2:4" ht="15.75" customHeight="1" x14ac:dyDescent="0.15">
      <c r="B14" s="58" t="s">
        <v>70</v>
      </c>
      <c r="C14" s="23">
        <v>3</v>
      </c>
      <c r="D14" s="62" t="s">
        <v>487</v>
      </c>
    </row>
    <row r="15" spans="2:4" ht="15.75" customHeight="1" x14ac:dyDescent="0.15">
      <c r="B15" s="58" t="s">
        <v>71</v>
      </c>
      <c r="C15" s="23">
        <v>1.5</v>
      </c>
      <c r="D15" s="62" t="s">
        <v>486</v>
      </c>
    </row>
    <row r="16" spans="2:4" ht="15.75" customHeight="1" x14ac:dyDescent="0.15">
      <c r="B16" s="58" t="s">
        <v>72</v>
      </c>
      <c r="C16" s="23"/>
      <c r="D16" s="24"/>
    </row>
    <row r="17" spans="2:4" ht="15.75" customHeight="1" x14ac:dyDescent="0.15">
      <c r="B17" s="58" t="s">
        <v>73</v>
      </c>
      <c r="C17" s="23"/>
      <c r="D17" s="24"/>
    </row>
    <row r="18" spans="2:4" ht="15.75" customHeight="1" x14ac:dyDescent="0.15">
      <c r="B18" s="58" t="s">
        <v>74</v>
      </c>
      <c r="C18" s="23">
        <v>2</v>
      </c>
      <c r="D18" s="62" t="s">
        <v>453</v>
      </c>
    </row>
    <row r="19" spans="2:4" ht="15.75" customHeight="1" x14ac:dyDescent="0.15">
      <c r="B19" s="58" t="s">
        <v>75</v>
      </c>
      <c r="C19" s="23"/>
      <c r="D19" s="24"/>
    </row>
    <row r="20" spans="2:4" ht="15.75" customHeight="1" x14ac:dyDescent="0.15">
      <c r="B20" s="58" t="s">
        <v>76</v>
      </c>
      <c r="C20" s="23">
        <v>2</v>
      </c>
      <c r="D20" s="24" t="s">
        <v>421</v>
      </c>
    </row>
    <row r="21" spans="2:4" ht="15.75" customHeight="1" x14ac:dyDescent="0.15">
      <c r="B21" s="58" t="s">
        <v>77</v>
      </c>
      <c r="C21" s="23">
        <v>2</v>
      </c>
      <c r="D21" s="62" t="s">
        <v>454</v>
      </c>
    </row>
    <row r="22" spans="2:4" ht="15.75" customHeight="1" x14ac:dyDescent="0.15">
      <c r="B22" s="58" t="s">
        <v>78</v>
      </c>
      <c r="C22" s="23"/>
      <c r="D22" s="24"/>
    </row>
    <row r="23" spans="2:4" ht="15.75" customHeight="1" x14ac:dyDescent="0.15">
      <c r="B23" s="58" t="s">
        <v>79</v>
      </c>
      <c r="C23" s="23"/>
      <c r="D23" s="24"/>
    </row>
    <row r="24" spans="2:4" ht="15.75" customHeight="1" x14ac:dyDescent="0.15">
      <c r="B24" s="58" t="s">
        <v>80</v>
      </c>
      <c r="C24" s="23"/>
      <c r="D24" s="24"/>
    </row>
    <row r="25" spans="2:4" ht="15.75" customHeight="1" x14ac:dyDescent="0.15">
      <c r="B25" s="58" t="s">
        <v>81</v>
      </c>
      <c r="C25" s="23"/>
      <c r="D25" s="24"/>
    </row>
    <row r="26" spans="2:4" ht="15.75" customHeight="1" x14ac:dyDescent="0.15">
      <c r="B26" s="58" t="s">
        <v>82</v>
      </c>
      <c r="C26" s="23"/>
      <c r="D26" s="24"/>
    </row>
    <row r="27" spans="2:4" ht="15.75" customHeight="1" x14ac:dyDescent="0.15">
      <c r="B27" s="58" t="s">
        <v>83</v>
      </c>
      <c r="C27" s="23">
        <v>2</v>
      </c>
      <c r="D27" s="62" t="s">
        <v>421</v>
      </c>
    </row>
    <row r="28" spans="2:4" ht="15.75" customHeight="1" x14ac:dyDescent="0.15">
      <c r="B28" s="58" t="s">
        <v>84</v>
      </c>
      <c r="C28" s="23">
        <v>2</v>
      </c>
      <c r="D28" s="62" t="s">
        <v>455</v>
      </c>
    </row>
    <row r="29" spans="2:4" ht="15.75" customHeight="1" x14ac:dyDescent="0.15">
      <c r="B29" s="58" t="s">
        <v>85</v>
      </c>
      <c r="C29" s="23">
        <v>3</v>
      </c>
      <c r="D29" s="62" t="s">
        <v>434</v>
      </c>
    </row>
    <row r="30" spans="2:4" ht="15.75" customHeight="1" x14ac:dyDescent="0.15">
      <c r="B30" s="58" t="s">
        <v>86</v>
      </c>
      <c r="C30" s="23"/>
      <c r="D30" s="24"/>
    </row>
    <row r="31" spans="2:4" ht="15.75" customHeight="1" x14ac:dyDescent="0.15">
      <c r="B31" s="58" t="s">
        <v>87</v>
      </c>
      <c r="C31" s="23"/>
      <c r="D31" s="24"/>
    </row>
    <row r="32" spans="2:4" ht="15.75" customHeight="1" x14ac:dyDescent="0.15">
      <c r="B32" s="58" t="s">
        <v>88</v>
      </c>
      <c r="C32" s="23"/>
      <c r="D32" s="24"/>
    </row>
    <row r="33" spans="2:4" ht="15.75" customHeight="1" x14ac:dyDescent="0.15">
      <c r="B33" s="58" t="s">
        <v>89</v>
      </c>
      <c r="C33" s="23"/>
      <c r="D33" s="24"/>
    </row>
    <row r="34" spans="2:4" ht="15.75" customHeight="1" x14ac:dyDescent="0.15">
      <c r="B34" s="58" t="s">
        <v>90</v>
      </c>
      <c r="C34" s="23">
        <v>2</v>
      </c>
      <c r="D34" s="62" t="s">
        <v>456</v>
      </c>
    </row>
    <row r="35" spans="2:4" ht="15.75" customHeight="1" x14ac:dyDescent="0.15">
      <c r="B35" s="58" t="s">
        <v>91</v>
      </c>
      <c r="C35" s="23"/>
      <c r="D35" s="24"/>
    </row>
    <row r="36" spans="2:4" ht="15.75" customHeight="1" x14ac:dyDescent="0.15">
      <c r="B36" s="58" t="s">
        <v>92</v>
      </c>
      <c r="C36" s="23">
        <v>2</v>
      </c>
      <c r="D36" s="62" t="s">
        <v>489</v>
      </c>
    </row>
    <row r="37" spans="2:4" ht="15.75" customHeight="1" x14ac:dyDescent="0.15">
      <c r="B37" s="58" t="s">
        <v>93</v>
      </c>
      <c r="C37" s="23"/>
      <c r="D37" s="24"/>
    </row>
    <row r="38" spans="2:4" ht="15.75" customHeight="1" x14ac:dyDescent="0.15">
      <c r="B38" s="58" t="s">
        <v>94</v>
      </c>
      <c r="C38" s="23"/>
      <c r="D38" s="24"/>
    </row>
    <row r="39" spans="2:4" ht="15.75" customHeight="1" x14ac:dyDescent="0.15">
      <c r="B39" s="22"/>
      <c r="C39" s="23"/>
      <c r="D39" s="24"/>
    </row>
    <row r="40" spans="2:4" ht="15.75" customHeight="1" x14ac:dyDescent="0.15">
      <c r="B40" s="22"/>
      <c r="C40" s="23"/>
      <c r="D40" s="24"/>
    </row>
    <row r="41" spans="2:4" ht="15.75" customHeight="1" thickBot="1" x14ac:dyDescent="0.2">
      <c r="B41" s="19"/>
      <c r="C41" s="25"/>
      <c r="D41" s="26"/>
    </row>
    <row r="42" spans="2:4" ht="6.75" customHeight="1" thickBot="1" x14ac:dyDescent="0.2">
      <c r="B42" s="10"/>
      <c r="C42" s="27"/>
      <c r="D42" s="28"/>
    </row>
    <row r="43" spans="2:4" ht="14" thickBot="1" x14ac:dyDescent="0.2">
      <c r="B43" s="29" t="s">
        <v>65</v>
      </c>
      <c r="C43" s="30">
        <f>SUM(C11:C41)</f>
        <v>34.5</v>
      </c>
      <c r="D43" s="31"/>
    </row>
    <row r="44" spans="2:4" ht="14" thickBot="1" x14ac:dyDescent="0.2">
      <c r="B44" s="32" t="s">
        <v>66</v>
      </c>
      <c r="C44" s="33">
        <f>C43/8</f>
        <v>4.3125</v>
      </c>
      <c r="D44" s="32"/>
    </row>
    <row r="45" spans="2:4" ht="6.75" customHeight="1" x14ac:dyDescent="0.15">
      <c r="C45" s="27"/>
    </row>
  </sheetData>
  <phoneticPr fontId="0" type="noConversion"/>
  <pageMargins left="0.78740157480314965" right="0.78740157480314965" top="0.39370078740157483" bottom="0.39370078740157483" header="0.51181102362204722" footer="0.51181102362204722"/>
  <pageSetup paperSize="9" scale="6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45"/>
  <sheetViews>
    <sheetView view="pageBreakPreview" zoomScale="60" zoomScaleNormal="115" workbookViewId="0">
      <selection activeCell="D53" sqref="D53"/>
    </sheetView>
  </sheetViews>
  <sheetFormatPr baseColWidth="10" defaultColWidth="11.33203125" defaultRowHeight="13" x14ac:dyDescent="0.15"/>
  <cols>
    <col min="2" max="2" width="18.6640625" customWidth="1"/>
    <col min="3" max="3" width="12" customWidth="1"/>
    <col min="4" max="4" width="133" customWidth="1"/>
  </cols>
  <sheetData>
    <row r="2" spans="2:4" ht="21" customHeight="1" x14ac:dyDescent="0.2">
      <c r="B2" s="57" t="s">
        <v>403</v>
      </c>
      <c r="C2" s="57"/>
      <c r="D2" s="57" t="s">
        <v>402</v>
      </c>
    </row>
    <row r="3" spans="2:4" ht="5.25" customHeight="1" thickBot="1" x14ac:dyDescent="0.2"/>
    <row r="4" spans="2:4" ht="20" x14ac:dyDescent="0.2">
      <c r="B4" s="1" t="s">
        <v>28</v>
      </c>
      <c r="C4" s="2"/>
      <c r="D4" s="3"/>
    </row>
    <row r="5" spans="2:4" x14ac:dyDescent="0.15">
      <c r="B5" s="4" t="s">
        <v>29</v>
      </c>
      <c r="C5" s="5"/>
      <c r="D5" s="6"/>
    </row>
    <row r="6" spans="2:4" x14ac:dyDescent="0.15">
      <c r="B6" s="4" t="s">
        <v>30</v>
      </c>
      <c r="C6" s="5"/>
      <c r="D6" s="6"/>
    </row>
    <row r="7" spans="2:4" ht="17" thickBot="1" x14ac:dyDescent="0.25">
      <c r="B7" s="7" t="s">
        <v>31</v>
      </c>
      <c r="C7" s="8" t="str">
        <f>'Total Aufwand'!C17</f>
        <v>März</v>
      </c>
      <c r="D7" s="9"/>
    </row>
    <row r="8" spans="2:4" ht="5.25" customHeight="1" thickBot="1" x14ac:dyDescent="0.2">
      <c r="B8" s="10"/>
      <c r="C8" s="11"/>
      <c r="D8" s="12"/>
    </row>
    <row r="9" spans="2:4" x14ac:dyDescent="0.15">
      <c r="B9" s="13" t="s">
        <v>32</v>
      </c>
      <c r="C9" s="14" t="s">
        <v>5</v>
      </c>
      <c r="D9" s="15" t="s">
        <v>33</v>
      </c>
    </row>
    <row r="10" spans="2:4" ht="14" thickBot="1" x14ac:dyDescent="0.2">
      <c r="B10" s="16"/>
      <c r="C10" s="17" t="s">
        <v>6</v>
      </c>
      <c r="D10" s="18"/>
    </row>
    <row r="11" spans="2:4" ht="15.75" customHeight="1" x14ac:dyDescent="0.15">
      <c r="B11" s="58" t="s">
        <v>95</v>
      </c>
      <c r="C11" s="20"/>
      <c r="D11" s="21"/>
    </row>
    <row r="12" spans="2:4" ht="15.75" customHeight="1" x14ac:dyDescent="0.15">
      <c r="B12" s="58" t="s">
        <v>96</v>
      </c>
      <c r="C12" s="23">
        <v>4</v>
      </c>
      <c r="D12" s="62" t="s">
        <v>457</v>
      </c>
    </row>
    <row r="13" spans="2:4" ht="15.75" customHeight="1" x14ac:dyDescent="0.15">
      <c r="B13" s="58" t="s">
        <v>97</v>
      </c>
      <c r="C13" s="23">
        <v>2</v>
      </c>
      <c r="D13" s="62" t="s">
        <v>421</v>
      </c>
    </row>
    <row r="14" spans="2:4" ht="15.75" customHeight="1" x14ac:dyDescent="0.15">
      <c r="B14" s="58" t="s">
        <v>98</v>
      </c>
      <c r="C14" s="23"/>
      <c r="D14" s="24"/>
    </row>
    <row r="15" spans="2:4" ht="15.75" customHeight="1" x14ac:dyDescent="0.15">
      <c r="B15" s="58" t="s">
        <v>99</v>
      </c>
      <c r="C15" s="23">
        <v>2</v>
      </c>
      <c r="D15" s="62" t="s">
        <v>458</v>
      </c>
    </row>
    <row r="16" spans="2:4" ht="15.75" customHeight="1" x14ac:dyDescent="0.15">
      <c r="B16" s="58" t="s">
        <v>100</v>
      </c>
      <c r="C16" s="23"/>
      <c r="D16" s="24"/>
    </row>
    <row r="17" spans="2:4" ht="15.75" customHeight="1" x14ac:dyDescent="0.15">
      <c r="B17" s="58" t="s">
        <v>101</v>
      </c>
      <c r="C17" s="23">
        <v>1.5</v>
      </c>
      <c r="D17" s="62" t="s">
        <v>523</v>
      </c>
    </row>
    <row r="18" spans="2:4" ht="15.75" customHeight="1" x14ac:dyDescent="0.15">
      <c r="B18" s="58" t="s">
        <v>102</v>
      </c>
      <c r="C18" s="23">
        <v>1</v>
      </c>
      <c r="D18" s="62" t="s">
        <v>497</v>
      </c>
    </row>
    <row r="19" spans="2:4" ht="15.75" customHeight="1" x14ac:dyDescent="0.15">
      <c r="B19" s="58" t="s">
        <v>103</v>
      </c>
      <c r="C19" s="23">
        <v>3</v>
      </c>
      <c r="D19" s="62" t="s">
        <v>459</v>
      </c>
    </row>
    <row r="20" spans="2:4" ht="15.75" customHeight="1" x14ac:dyDescent="0.15">
      <c r="B20" s="58" t="s">
        <v>104</v>
      </c>
      <c r="C20" s="23">
        <v>2.5</v>
      </c>
      <c r="D20" s="62" t="s">
        <v>460</v>
      </c>
    </row>
    <row r="21" spans="2:4" ht="15.75" customHeight="1" x14ac:dyDescent="0.15">
      <c r="B21" s="58" t="s">
        <v>105</v>
      </c>
      <c r="C21" s="23"/>
      <c r="D21" s="24"/>
    </row>
    <row r="22" spans="2:4" ht="15.75" customHeight="1" x14ac:dyDescent="0.15">
      <c r="B22" s="58" t="s">
        <v>106</v>
      </c>
      <c r="C22" s="23"/>
      <c r="D22" s="24"/>
    </row>
    <row r="23" spans="2:4" ht="15.75" customHeight="1" x14ac:dyDescent="0.15">
      <c r="B23" s="58" t="s">
        <v>107</v>
      </c>
      <c r="C23" s="23"/>
      <c r="D23" s="24"/>
    </row>
    <row r="24" spans="2:4" ht="15.75" customHeight="1" x14ac:dyDescent="0.15">
      <c r="B24" s="58" t="s">
        <v>108</v>
      </c>
      <c r="C24" s="23"/>
      <c r="D24" s="24"/>
    </row>
    <row r="25" spans="2:4" ht="15.75" customHeight="1" x14ac:dyDescent="0.15">
      <c r="B25" s="58" t="s">
        <v>109</v>
      </c>
      <c r="C25" s="23"/>
      <c r="D25" s="24"/>
    </row>
    <row r="26" spans="2:4" ht="15.75" customHeight="1" x14ac:dyDescent="0.15">
      <c r="B26" s="58" t="s">
        <v>110</v>
      </c>
      <c r="C26" s="23">
        <v>1</v>
      </c>
      <c r="D26" s="62" t="s">
        <v>491</v>
      </c>
    </row>
    <row r="27" spans="2:4" ht="15.75" customHeight="1" x14ac:dyDescent="0.15">
      <c r="B27" s="58" t="s">
        <v>111</v>
      </c>
      <c r="C27" s="23">
        <v>4</v>
      </c>
      <c r="D27" s="62" t="s">
        <v>461</v>
      </c>
    </row>
    <row r="28" spans="2:4" ht="15.75" customHeight="1" x14ac:dyDescent="0.15">
      <c r="B28" s="58" t="s">
        <v>112</v>
      </c>
      <c r="C28" s="23"/>
      <c r="D28" s="24"/>
    </row>
    <row r="29" spans="2:4" ht="15.75" customHeight="1" x14ac:dyDescent="0.15">
      <c r="B29" s="58" t="s">
        <v>113</v>
      </c>
      <c r="C29" s="23">
        <v>1.5</v>
      </c>
      <c r="D29" s="62" t="s">
        <v>462</v>
      </c>
    </row>
    <row r="30" spans="2:4" ht="15.75" customHeight="1" x14ac:dyDescent="0.15">
      <c r="B30" s="58" t="s">
        <v>114</v>
      </c>
      <c r="C30" s="23">
        <v>3</v>
      </c>
      <c r="D30" s="62" t="s">
        <v>484</v>
      </c>
    </row>
    <row r="31" spans="2:4" ht="15.75" customHeight="1" x14ac:dyDescent="0.15">
      <c r="B31" s="58" t="s">
        <v>115</v>
      </c>
      <c r="C31" s="23"/>
      <c r="D31" s="24"/>
    </row>
    <row r="32" spans="2:4" ht="15.75" customHeight="1" x14ac:dyDescent="0.15">
      <c r="B32" s="58" t="s">
        <v>116</v>
      </c>
      <c r="C32" s="23">
        <v>2</v>
      </c>
      <c r="D32" s="62" t="s">
        <v>463</v>
      </c>
    </row>
    <row r="33" spans="2:4" ht="15.75" customHeight="1" x14ac:dyDescent="0.15">
      <c r="B33" s="58" t="s">
        <v>117</v>
      </c>
      <c r="C33" s="23">
        <v>8</v>
      </c>
      <c r="D33" s="62" t="s">
        <v>464</v>
      </c>
    </row>
    <row r="34" spans="2:4" ht="15.75" customHeight="1" x14ac:dyDescent="0.15">
      <c r="B34" s="58" t="s">
        <v>118</v>
      </c>
      <c r="C34" s="23">
        <v>8</v>
      </c>
      <c r="D34" s="62" t="s">
        <v>465</v>
      </c>
    </row>
    <row r="35" spans="2:4" ht="15.75" customHeight="1" x14ac:dyDescent="0.15">
      <c r="B35" s="58" t="s">
        <v>119</v>
      </c>
      <c r="C35" s="23"/>
      <c r="D35" s="24"/>
    </row>
    <row r="36" spans="2:4" ht="15.75" customHeight="1" x14ac:dyDescent="0.15">
      <c r="B36" s="58" t="s">
        <v>120</v>
      </c>
      <c r="C36" s="23"/>
      <c r="D36" s="24"/>
    </row>
    <row r="37" spans="2:4" ht="15.75" customHeight="1" x14ac:dyDescent="0.15">
      <c r="B37" s="58" t="s">
        <v>121</v>
      </c>
      <c r="C37" s="23"/>
      <c r="D37" s="24"/>
    </row>
    <row r="38" spans="2:4" ht="15.75" customHeight="1" x14ac:dyDescent="0.15">
      <c r="B38" s="58" t="s">
        <v>122</v>
      </c>
      <c r="C38" s="23"/>
      <c r="D38" s="24"/>
    </row>
    <row r="39" spans="2:4" ht="15.75" customHeight="1" x14ac:dyDescent="0.15">
      <c r="B39" s="58" t="s">
        <v>123</v>
      </c>
      <c r="C39" s="23"/>
      <c r="D39" s="24"/>
    </row>
    <row r="40" spans="2:4" ht="15.75" customHeight="1" x14ac:dyDescent="0.15">
      <c r="B40" s="58" t="s">
        <v>124</v>
      </c>
      <c r="C40" s="23"/>
      <c r="D40" s="24"/>
    </row>
    <row r="41" spans="2:4" ht="15.75" customHeight="1" thickBot="1" x14ac:dyDescent="0.2">
      <c r="B41" s="58" t="s">
        <v>125</v>
      </c>
      <c r="C41" s="25">
        <v>2</v>
      </c>
      <c r="D41" s="63" t="s">
        <v>421</v>
      </c>
    </row>
    <row r="42" spans="2:4" ht="6.75" customHeight="1" thickBot="1" x14ac:dyDescent="0.2">
      <c r="B42" s="10"/>
      <c r="C42" s="27"/>
      <c r="D42" s="28"/>
    </row>
    <row r="43" spans="2:4" ht="14" thickBot="1" x14ac:dyDescent="0.2">
      <c r="B43" s="29" t="s">
        <v>65</v>
      </c>
      <c r="C43" s="30">
        <f>SUM(C11:C41)</f>
        <v>45.5</v>
      </c>
      <c r="D43" s="31"/>
    </row>
    <row r="44" spans="2:4" ht="14" thickBot="1" x14ac:dyDescent="0.2">
      <c r="B44" s="32" t="s">
        <v>66</v>
      </c>
      <c r="C44" s="33">
        <f>C43/8</f>
        <v>5.6875</v>
      </c>
      <c r="D44" s="32"/>
    </row>
    <row r="45" spans="2:4" ht="6.75" customHeight="1" x14ac:dyDescent="0.15">
      <c r="C45" s="27"/>
    </row>
  </sheetData>
  <phoneticPr fontId="0" type="noConversion"/>
  <pageMargins left="0.78740157480314965" right="0.78740157480314965" top="0.39370078740157483" bottom="0.39370078740157483" header="0.51181102362204722" footer="0.51181102362204722"/>
  <pageSetup paperSize="9" scale="6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45"/>
  <sheetViews>
    <sheetView view="pageBreakPreview" zoomScale="60" zoomScaleNormal="90" workbookViewId="0">
      <selection sqref="A1:XFD1"/>
    </sheetView>
  </sheetViews>
  <sheetFormatPr baseColWidth="10" defaultColWidth="11.33203125" defaultRowHeight="13" x14ac:dyDescent="0.15"/>
  <cols>
    <col min="2" max="2" width="18.6640625" customWidth="1"/>
    <col min="3" max="3" width="12" customWidth="1"/>
    <col min="4" max="4" width="133" customWidth="1"/>
  </cols>
  <sheetData>
    <row r="2" spans="2:4" ht="21" customHeight="1" x14ac:dyDescent="0.2">
      <c r="B2" s="57" t="s">
        <v>403</v>
      </c>
      <c r="C2" s="57"/>
      <c r="D2" s="57" t="s">
        <v>402</v>
      </c>
    </row>
    <row r="3" spans="2:4" ht="5.25" customHeight="1" thickBot="1" x14ac:dyDescent="0.2"/>
    <row r="4" spans="2:4" ht="20" x14ac:dyDescent="0.2">
      <c r="B4" s="1" t="s">
        <v>28</v>
      </c>
      <c r="C4" s="2"/>
      <c r="D4" s="3"/>
    </row>
    <row r="5" spans="2:4" x14ac:dyDescent="0.15">
      <c r="B5" s="4" t="s">
        <v>29</v>
      </c>
      <c r="C5" s="5"/>
      <c r="D5" s="6"/>
    </row>
    <row r="6" spans="2:4" x14ac:dyDescent="0.15">
      <c r="B6" s="4" t="s">
        <v>30</v>
      </c>
      <c r="C6" s="5"/>
      <c r="D6" s="6"/>
    </row>
    <row r="7" spans="2:4" ht="17" thickBot="1" x14ac:dyDescent="0.25">
      <c r="B7" s="7" t="s">
        <v>31</v>
      </c>
      <c r="C7" s="8" t="str">
        <f>'Total Aufwand'!C18</f>
        <v>April</v>
      </c>
      <c r="D7" s="9"/>
    </row>
    <row r="8" spans="2:4" ht="5.25" customHeight="1" thickBot="1" x14ac:dyDescent="0.2">
      <c r="B8" s="10"/>
      <c r="C8" s="11"/>
      <c r="D8" s="12"/>
    </row>
    <row r="9" spans="2:4" x14ac:dyDescent="0.15">
      <c r="B9" s="13" t="s">
        <v>32</v>
      </c>
      <c r="C9" s="14" t="s">
        <v>5</v>
      </c>
      <c r="D9" s="15" t="s">
        <v>33</v>
      </c>
    </row>
    <row r="10" spans="2:4" ht="14" thickBot="1" x14ac:dyDescent="0.2">
      <c r="B10" s="16"/>
      <c r="C10" s="17" t="s">
        <v>6</v>
      </c>
      <c r="D10" s="18"/>
    </row>
    <row r="11" spans="2:4" ht="15.75" customHeight="1" x14ac:dyDescent="0.15">
      <c r="B11" s="58" t="s">
        <v>126</v>
      </c>
      <c r="C11" s="20">
        <v>2</v>
      </c>
      <c r="D11" s="61" t="s">
        <v>466</v>
      </c>
    </row>
    <row r="12" spans="2:4" ht="15.75" customHeight="1" x14ac:dyDescent="0.15">
      <c r="B12" s="60" t="s">
        <v>127</v>
      </c>
      <c r="C12" s="23"/>
      <c r="D12" s="24"/>
    </row>
    <row r="13" spans="2:4" ht="15.75" customHeight="1" x14ac:dyDescent="0.15">
      <c r="B13" s="58" t="s">
        <v>128</v>
      </c>
      <c r="C13" s="23"/>
      <c r="D13" s="24"/>
    </row>
    <row r="14" spans="2:4" ht="15.75" customHeight="1" x14ac:dyDescent="0.15">
      <c r="B14" s="60" t="s">
        <v>129</v>
      </c>
      <c r="C14" s="23"/>
      <c r="D14" s="24"/>
    </row>
    <row r="15" spans="2:4" ht="15.75" customHeight="1" x14ac:dyDescent="0.15">
      <c r="B15" s="58" t="s">
        <v>130</v>
      </c>
      <c r="C15" s="23"/>
      <c r="D15" s="24"/>
    </row>
    <row r="16" spans="2:4" ht="15.75" customHeight="1" x14ac:dyDescent="0.15">
      <c r="B16" s="60" t="s">
        <v>131</v>
      </c>
      <c r="C16" s="23"/>
      <c r="D16" s="24"/>
    </row>
    <row r="17" spans="2:4" ht="15.75" customHeight="1" x14ac:dyDescent="0.15">
      <c r="B17" s="58" t="s">
        <v>132</v>
      </c>
      <c r="C17" s="23">
        <v>2</v>
      </c>
      <c r="D17" s="24" t="s">
        <v>421</v>
      </c>
    </row>
    <row r="18" spans="2:4" ht="15.75" customHeight="1" x14ac:dyDescent="0.15">
      <c r="B18" s="60" t="s">
        <v>133</v>
      </c>
      <c r="C18" s="23">
        <v>1.5</v>
      </c>
      <c r="D18" s="62" t="s">
        <v>490</v>
      </c>
    </row>
    <row r="19" spans="2:4" ht="15.75" customHeight="1" x14ac:dyDescent="0.15">
      <c r="B19" s="58" t="s">
        <v>134</v>
      </c>
      <c r="C19" s="23">
        <v>4.5</v>
      </c>
      <c r="D19" s="62" t="s">
        <v>482</v>
      </c>
    </row>
    <row r="20" spans="2:4" ht="15.75" customHeight="1" x14ac:dyDescent="0.15">
      <c r="B20" s="60" t="s">
        <v>135</v>
      </c>
      <c r="C20" s="23"/>
      <c r="D20" s="24"/>
    </row>
    <row r="21" spans="2:4" ht="15.75" customHeight="1" x14ac:dyDescent="0.15">
      <c r="B21" s="58" t="s">
        <v>136</v>
      </c>
      <c r="C21" s="23"/>
      <c r="D21" s="24"/>
    </row>
    <row r="22" spans="2:4" ht="15.75" customHeight="1" x14ac:dyDescent="0.15">
      <c r="B22" s="60" t="s">
        <v>137</v>
      </c>
      <c r="C22" s="23"/>
      <c r="D22" s="24"/>
    </row>
    <row r="23" spans="2:4" ht="15.75" customHeight="1" x14ac:dyDescent="0.15">
      <c r="B23" s="58" t="s">
        <v>138</v>
      </c>
      <c r="C23" s="23">
        <v>4</v>
      </c>
      <c r="D23" s="62" t="s">
        <v>467</v>
      </c>
    </row>
    <row r="24" spans="2:4" ht="15.75" customHeight="1" x14ac:dyDescent="0.15">
      <c r="B24" s="60" t="s">
        <v>139</v>
      </c>
      <c r="C24" s="23">
        <v>1</v>
      </c>
      <c r="D24" s="62" t="s">
        <v>468</v>
      </c>
    </row>
    <row r="25" spans="2:4" ht="15.75" customHeight="1" x14ac:dyDescent="0.15">
      <c r="B25" s="58" t="s">
        <v>140</v>
      </c>
      <c r="C25" s="23"/>
      <c r="D25" s="24"/>
    </row>
    <row r="26" spans="2:4" ht="15.75" customHeight="1" x14ac:dyDescent="0.15">
      <c r="B26" s="60" t="s">
        <v>141</v>
      </c>
      <c r="C26" s="23"/>
      <c r="D26" s="24"/>
    </row>
    <row r="27" spans="2:4" ht="15.75" customHeight="1" x14ac:dyDescent="0.15">
      <c r="B27" s="58" t="s">
        <v>142</v>
      </c>
      <c r="C27" s="23"/>
      <c r="D27" s="24"/>
    </row>
    <row r="28" spans="2:4" ht="15.75" customHeight="1" x14ac:dyDescent="0.15">
      <c r="B28" s="60" t="s">
        <v>143</v>
      </c>
      <c r="C28" s="23">
        <v>2.5</v>
      </c>
      <c r="D28" s="62" t="s">
        <v>474</v>
      </c>
    </row>
    <row r="29" spans="2:4" ht="15.75" customHeight="1" x14ac:dyDescent="0.15">
      <c r="B29" s="58" t="s">
        <v>144</v>
      </c>
      <c r="C29" s="23"/>
      <c r="D29" s="24"/>
    </row>
    <row r="30" spans="2:4" ht="15.75" customHeight="1" x14ac:dyDescent="0.15">
      <c r="B30" s="60" t="s">
        <v>145</v>
      </c>
      <c r="C30" s="23">
        <v>1</v>
      </c>
      <c r="D30" s="62" t="s">
        <v>481</v>
      </c>
    </row>
    <row r="31" spans="2:4" ht="15.75" customHeight="1" x14ac:dyDescent="0.15">
      <c r="B31" s="58" t="s">
        <v>146</v>
      </c>
      <c r="C31" s="23">
        <v>5</v>
      </c>
      <c r="D31" s="62" t="s">
        <v>492</v>
      </c>
    </row>
    <row r="32" spans="2:4" ht="15.75" customHeight="1" x14ac:dyDescent="0.15">
      <c r="B32" s="60" t="s">
        <v>147</v>
      </c>
      <c r="C32" s="23">
        <v>6</v>
      </c>
      <c r="D32" s="62" t="s">
        <v>469</v>
      </c>
    </row>
    <row r="33" spans="2:4" ht="15.75" customHeight="1" x14ac:dyDescent="0.15">
      <c r="B33" s="58" t="s">
        <v>148</v>
      </c>
      <c r="C33" s="23">
        <v>3</v>
      </c>
      <c r="D33" s="62" t="s">
        <v>472</v>
      </c>
    </row>
    <row r="34" spans="2:4" ht="15.75" customHeight="1" x14ac:dyDescent="0.15">
      <c r="B34" s="60" t="s">
        <v>149</v>
      </c>
      <c r="C34" s="23"/>
      <c r="D34" s="24"/>
    </row>
    <row r="35" spans="2:4" ht="15.75" customHeight="1" x14ac:dyDescent="0.15">
      <c r="B35" s="58" t="s">
        <v>150</v>
      </c>
      <c r="C35" s="23"/>
      <c r="D35" s="24"/>
    </row>
    <row r="36" spans="2:4" ht="15.75" customHeight="1" x14ac:dyDescent="0.15">
      <c r="B36" s="60" t="s">
        <v>151</v>
      </c>
      <c r="C36" s="23"/>
      <c r="D36" s="24"/>
    </row>
    <row r="37" spans="2:4" ht="15.75" customHeight="1" x14ac:dyDescent="0.15">
      <c r="B37" s="58" t="s">
        <v>152</v>
      </c>
      <c r="C37" s="23">
        <v>2</v>
      </c>
      <c r="D37" s="62" t="s">
        <v>471</v>
      </c>
    </row>
    <row r="38" spans="2:4" ht="15.75" customHeight="1" x14ac:dyDescent="0.15">
      <c r="B38" s="60" t="s">
        <v>153</v>
      </c>
      <c r="C38" s="23">
        <v>4</v>
      </c>
      <c r="D38" s="62" t="s">
        <v>470</v>
      </c>
    </row>
    <row r="39" spans="2:4" ht="15.75" customHeight="1" x14ac:dyDescent="0.15">
      <c r="B39" s="58" t="s">
        <v>154</v>
      </c>
      <c r="C39" s="23">
        <v>2</v>
      </c>
      <c r="D39" s="62" t="s">
        <v>473</v>
      </c>
    </row>
    <row r="40" spans="2:4" ht="15.75" customHeight="1" x14ac:dyDescent="0.15">
      <c r="B40" s="60" t="s">
        <v>155</v>
      </c>
      <c r="C40" s="23">
        <v>3</v>
      </c>
      <c r="D40" s="62" t="s">
        <v>480</v>
      </c>
    </row>
    <row r="41" spans="2:4" ht="15.75" customHeight="1" thickBot="1" x14ac:dyDescent="0.2">
      <c r="B41" s="22"/>
      <c r="C41" s="25"/>
      <c r="D41" s="26"/>
    </row>
    <row r="42" spans="2:4" ht="6.75" customHeight="1" thickBot="1" x14ac:dyDescent="0.2">
      <c r="B42" s="10"/>
      <c r="C42" s="27"/>
      <c r="D42" s="28"/>
    </row>
    <row r="43" spans="2:4" ht="14" thickBot="1" x14ac:dyDescent="0.2">
      <c r="B43" s="29" t="s">
        <v>65</v>
      </c>
      <c r="C43" s="30">
        <f>SUM(C11:C41)</f>
        <v>43.5</v>
      </c>
      <c r="D43" s="31"/>
    </row>
    <row r="44" spans="2:4" ht="14" thickBot="1" x14ac:dyDescent="0.2">
      <c r="B44" s="32" t="s">
        <v>66</v>
      </c>
      <c r="C44" s="33">
        <f>C43/8</f>
        <v>5.4375</v>
      </c>
      <c r="D44" s="32"/>
    </row>
    <row r="45" spans="2:4" ht="6.75" customHeight="1" x14ac:dyDescent="0.15">
      <c r="C45" s="27"/>
    </row>
  </sheetData>
  <phoneticPr fontId="0" type="noConversion"/>
  <pageMargins left="0.78740157480314965" right="0.78740157480314965" top="0.39370078740157483" bottom="0.39370078740157483" header="0.51181102362204722" footer="0.51181102362204722"/>
  <pageSetup paperSize="9" scale="6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45"/>
  <sheetViews>
    <sheetView view="pageBreakPreview" zoomScale="60" zoomScaleNormal="84" workbookViewId="0">
      <selection activeCell="D45" sqref="D45"/>
    </sheetView>
  </sheetViews>
  <sheetFormatPr baseColWidth="10" defaultColWidth="11.33203125" defaultRowHeight="13" x14ac:dyDescent="0.15"/>
  <cols>
    <col min="2" max="2" width="18.6640625" customWidth="1"/>
    <col min="3" max="3" width="12" customWidth="1"/>
    <col min="4" max="4" width="133" customWidth="1"/>
  </cols>
  <sheetData>
    <row r="2" spans="2:4" ht="21" customHeight="1" x14ac:dyDescent="0.2">
      <c r="B2" s="57" t="s">
        <v>403</v>
      </c>
      <c r="C2" s="57"/>
      <c r="D2" s="57" t="s">
        <v>402</v>
      </c>
    </row>
    <row r="3" spans="2:4" ht="5.25" customHeight="1" thickBot="1" x14ac:dyDescent="0.2"/>
    <row r="4" spans="2:4" ht="20" x14ac:dyDescent="0.2">
      <c r="B4" s="1" t="s">
        <v>28</v>
      </c>
      <c r="C4" s="2"/>
      <c r="D4" s="3"/>
    </row>
    <row r="5" spans="2:4" x14ac:dyDescent="0.15">
      <c r="B5" s="4" t="s">
        <v>29</v>
      </c>
      <c r="C5" s="5"/>
      <c r="D5" s="6"/>
    </row>
    <row r="6" spans="2:4" x14ac:dyDescent="0.15">
      <c r="B6" s="4" t="s">
        <v>30</v>
      </c>
      <c r="C6" s="5"/>
      <c r="D6" s="6"/>
    </row>
    <row r="7" spans="2:4" ht="17" thickBot="1" x14ac:dyDescent="0.25">
      <c r="B7" s="7" t="s">
        <v>31</v>
      </c>
      <c r="C7" s="8" t="str">
        <f>'Total Aufwand'!C19</f>
        <v>Mai</v>
      </c>
      <c r="D7" s="9"/>
    </row>
    <row r="8" spans="2:4" ht="5.25" customHeight="1" thickBot="1" x14ac:dyDescent="0.2">
      <c r="B8" s="10"/>
      <c r="C8" s="11"/>
      <c r="D8" s="12"/>
    </row>
    <row r="9" spans="2:4" x14ac:dyDescent="0.15">
      <c r="B9" s="13" t="s">
        <v>32</v>
      </c>
      <c r="C9" s="14" t="s">
        <v>5</v>
      </c>
      <c r="D9" s="15" t="s">
        <v>33</v>
      </c>
    </row>
    <row r="10" spans="2:4" ht="14" thickBot="1" x14ac:dyDescent="0.2">
      <c r="B10" s="16"/>
      <c r="C10" s="17" t="s">
        <v>6</v>
      </c>
      <c r="D10" s="18"/>
    </row>
    <row r="11" spans="2:4" ht="15.75" customHeight="1" x14ac:dyDescent="0.15">
      <c r="B11" s="58" t="s">
        <v>156</v>
      </c>
      <c r="C11" s="20"/>
      <c r="D11" s="21"/>
    </row>
    <row r="12" spans="2:4" ht="15.75" customHeight="1" x14ac:dyDescent="0.15">
      <c r="B12" s="59" t="s">
        <v>157</v>
      </c>
      <c r="C12" s="23">
        <v>2</v>
      </c>
      <c r="D12" s="24" t="s">
        <v>421</v>
      </c>
    </row>
    <row r="13" spans="2:4" ht="15.75" customHeight="1" x14ac:dyDescent="0.15">
      <c r="B13" s="58" t="s">
        <v>158</v>
      </c>
      <c r="C13" s="23"/>
      <c r="D13" s="24"/>
    </row>
    <row r="14" spans="2:4" ht="15.75" customHeight="1" x14ac:dyDescent="0.15">
      <c r="B14" s="59" t="s">
        <v>159</v>
      </c>
      <c r="C14" s="23">
        <v>1</v>
      </c>
      <c r="D14" s="62" t="s">
        <v>521</v>
      </c>
    </row>
    <row r="15" spans="2:4" ht="15.75" customHeight="1" x14ac:dyDescent="0.15">
      <c r="B15" s="58" t="s">
        <v>160</v>
      </c>
      <c r="C15" s="23"/>
      <c r="D15" s="24"/>
    </row>
    <row r="16" spans="2:4" ht="15.75" customHeight="1" x14ac:dyDescent="0.15">
      <c r="B16" s="59" t="s">
        <v>161</v>
      </c>
      <c r="C16" s="23"/>
      <c r="D16" s="24"/>
    </row>
    <row r="17" spans="2:4" ht="15.75" customHeight="1" x14ac:dyDescent="0.15">
      <c r="B17" s="58" t="s">
        <v>162</v>
      </c>
      <c r="C17" s="23">
        <v>4</v>
      </c>
      <c r="D17" s="62" t="s">
        <v>522</v>
      </c>
    </row>
    <row r="18" spans="2:4" ht="15.75" customHeight="1" x14ac:dyDescent="0.15">
      <c r="B18" s="59" t="s">
        <v>163</v>
      </c>
      <c r="C18" s="23"/>
      <c r="D18" s="24"/>
    </row>
    <row r="19" spans="2:4" ht="15.75" customHeight="1" x14ac:dyDescent="0.15">
      <c r="B19" s="58" t="s">
        <v>164</v>
      </c>
      <c r="C19" s="23"/>
      <c r="D19" s="24"/>
    </row>
    <row r="20" spans="2:4" ht="15.75" customHeight="1" x14ac:dyDescent="0.15">
      <c r="B20" s="59" t="s">
        <v>165</v>
      </c>
      <c r="C20" s="23">
        <v>1.5</v>
      </c>
      <c r="D20" s="62" t="s">
        <v>479</v>
      </c>
    </row>
    <row r="21" spans="2:4" ht="15.75" customHeight="1" x14ac:dyDescent="0.15">
      <c r="B21" s="58" t="s">
        <v>166</v>
      </c>
      <c r="C21" s="23"/>
      <c r="D21" s="62"/>
    </row>
    <row r="22" spans="2:4" ht="15.75" customHeight="1" x14ac:dyDescent="0.15">
      <c r="B22" s="59" t="s">
        <v>167</v>
      </c>
      <c r="C22" s="23">
        <v>2</v>
      </c>
      <c r="D22" s="62" t="s">
        <v>421</v>
      </c>
    </row>
    <row r="23" spans="2:4" ht="15.75" customHeight="1" x14ac:dyDescent="0.15">
      <c r="B23" s="58" t="s">
        <v>168</v>
      </c>
      <c r="C23" s="23">
        <v>3</v>
      </c>
      <c r="D23" s="62" t="s">
        <v>478</v>
      </c>
    </row>
    <row r="24" spans="2:4" ht="15.75" customHeight="1" x14ac:dyDescent="0.15">
      <c r="B24" s="59" t="s">
        <v>169</v>
      </c>
      <c r="C24" s="23"/>
      <c r="D24" s="24"/>
    </row>
    <row r="25" spans="2:4" ht="15.75" customHeight="1" x14ac:dyDescent="0.15">
      <c r="B25" s="58" t="s">
        <v>170</v>
      </c>
      <c r="C25" s="23"/>
      <c r="D25" s="24"/>
    </row>
    <row r="26" spans="2:4" ht="15.75" customHeight="1" x14ac:dyDescent="0.15">
      <c r="B26" s="59" t="s">
        <v>171</v>
      </c>
      <c r="C26" s="23"/>
      <c r="D26" s="24"/>
    </row>
    <row r="27" spans="2:4" ht="15.75" customHeight="1" x14ac:dyDescent="0.15">
      <c r="B27" s="58" t="s">
        <v>172</v>
      </c>
      <c r="C27" s="23"/>
      <c r="D27" s="24"/>
    </row>
    <row r="28" spans="2:4" ht="15.75" customHeight="1" x14ac:dyDescent="0.15">
      <c r="B28" s="59" t="s">
        <v>173</v>
      </c>
      <c r="C28" s="23"/>
      <c r="D28" s="24"/>
    </row>
    <row r="29" spans="2:4" ht="15.75" customHeight="1" x14ac:dyDescent="0.15">
      <c r="B29" s="58" t="s">
        <v>174</v>
      </c>
      <c r="C29" s="23">
        <v>2</v>
      </c>
      <c r="D29" s="24" t="s">
        <v>421</v>
      </c>
    </row>
    <row r="30" spans="2:4" ht="15.75" customHeight="1" x14ac:dyDescent="0.15">
      <c r="B30" s="59" t="s">
        <v>175</v>
      </c>
      <c r="C30" s="23"/>
      <c r="D30" s="24"/>
    </row>
    <row r="31" spans="2:4" ht="15.75" customHeight="1" x14ac:dyDescent="0.15">
      <c r="B31" s="58" t="s">
        <v>176</v>
      </c>
      <c r="C31" s="23"/>
      <c r="D31" s="24"/>
    </row>
    <row r="32" spans="2:4" ht="15.75" customHeight="1" x14ac:dyDescent="0.15">
      <c r="B32" s="59" t="s">
        <v>177</v>
      </c>
      <c r="C32" s="23"/>
      <c r="D32" s="24"/>
    </row>
    <row r="33" spans="2:4" ht="15.75" customHeight="1" x14ac:dyDescent="0.15">
      <c r="B33" s="58" t="s">
        <v>178</v>
      </c>
      <c r="C33" s="23"/>
      <c r="D33" s="24"/>
    </row>
    <row r="34" spans="2:4" ht="15.75" customHeight="1" x14ac:dyDescent="0.15">
      <c r="B34" s="59" t="s">
        <v>179</v>
      </c>
      <c r="C34" s="23"/>
      <c r="D34" s="24"/>
    </row>
    <row r="35" spans="2:4" ht="15.75" customHeight="1" x14ac:dyDescent="0.15">
      <c r="B35" s="58" t="s">
        <v>180</v>
      </c>
      <c r="C35" s="23">
        <v>2</v>
      </c>
      <c r="D35" s="62" t="s">
        <v>476</v>
      </c>
    </row>
    <row r="36" spans="2:4" ht="15.75" customHeight="1" x14ac:dyDescent="0.15">
      <c r="B36" s="59" t="s">
        <v>181</v>
      </c>
      <c r="C36" s="23">
        <v>2</v>
      </c>
      <c r="D36" s="24" t="s">
        <v>421</v>
      </c>
    </row>
    <row r="37" spans="2:4" ht="15.75" customHeight="1" x14ac:dyDescent="0.15">
      <c r="B37" s="58" t="s">
        <v>182</v>
      </c>
      <c r="C37" s="23">
        <v>3</v>
      </c>
      <c r="D37" s="62" t="s">
        <v>477</v>
      </c>
    </row>
    <row r="38" spans="2:4" ht="15.75" customHeight="1" x14ac:dyDescent="0.15">
      <c r="B38" s="59" t="s">
        <v>183</v>
      </c>
      <c r="C38" s="23"/>
      <c r="D38" s="24"/>
    </row>
    <row r="39" spans="2:4" ht="15.75" customHeight="1" x14ac:dyDescent="0.15">
      <c r="B39" s="58" t="s">
        <v>184</v>
      </c>
      <c r="C39" s="23"/>
      <c r="D39" s="24"/>
    </row>
    <row r="40" spans="2:4" ht="15.75" customHeight="1" x14ac:dyDescent="0.15">
      <c r="B40" s="59" t="s">
        <v>185</v>
      </c>
      <c r="C40" s="23"/>
      <c r="D40" s="24"/>
    </row>
    <row r="41" spans="2:4" ht="15.75" customHeight="1" thickBot="1" x14ac:dyDescent="0.2">
      <c r="B41" s="58" t="s">
        <v>186</v>
      </c>
      <c r="C41" s="25"/>
      <c r="D41" s="26"/>
    </row>
    <row r="42" spans="2:4" ht="6.75" customHeight="1" thickBot="1" x14ac:dyDescent="0.2">
      <c r="B42" s="10"/>
      <c r="C42" s="27"/>
      <c r="D42" s="28"/>
    </row>
    <row r="43" spans="2:4" ht="14" thickBot="1" x14ac:dyDescent="0.2">
      <c r="B43" s="29" t="s">
        <v>65</v>
      </c>
      <c r="C43" s="30">
        <f>SUM(C11:C41)</f>
        <v>22.5</v>
      </c>
      <c r="D43" s="31"/>
    </row>
    <row r="44" spans="2:4" ht="14" thickBot="1" x14ac:dyDescent="0.2">
      <c r="B44" s="32" t="s">
        <v>66</v>
      </c>
      <c r="C44" s="33">
        <f>C43/8</f>
        <v>2.8125</v>
      </c>
      <c r="D44" s="32"/>
    </row>
    <row r="45" spans="2:4" ht="6.75" customHeight="1" x14ac:dyDescent="0.15">
      <c r="C45" s="27"/>
    </row>
  </sheetData>
  <phoneticPr fontId="0" type="noConversion"/>
  <pageMargins left="0.78740157480314965" right="0.78740157480314965" top="0.39370078740157483" bottom="0.39370078740157483" header="0.51181102362204722" footer="0.51181102362204722"/>
  <pageSetup paperSize="9" scale="6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44"/>
  <sheetViews>
    <sheetView view="pageBreakPreview" zoomScale="60" zoomScaleNormal="75" workbookViewId="0">
      <selection sqref="A1:XFD1"/>
    </sheetView>
  </sheetViews>
  <sheetFormatPr baseColWidth="10" defaultColWidth="11.33203125" defaultRowHeight="13" x14ac:dyDescent="0.15"/>
  <cols>
    <col min="2" max="2" width="18.6640625" customWidth="1"/>
    <col min="3" max="3" width="12" customWidth="1"/>
    <col min="4" max="4" width="133" customWidth="1"/>
  </cols>
  <sheetData>
    <row r="2" spans="2:4" ht="22" customHeight="1" x14ac:dyDescent="0.2">
      <c r="B2" s="57" t="s">
        <v>403</v>
      </c>
      <c r="C2" s="57"/>
      <c r="D2" s="57" t="s">
        <v>402</v>
      </c>
    </row>
    <row r="3" spans="2:4" ht="5.25" customHeight="1" thickBot="1" x14ac:dyDescent="0.2"/>
    <row r="4" spans="2:4" ht="20" x14ac:dyDescent="0.2">
      <c r="B4" s="1" t="s">
        <v>28</v>
      </c>
      <c r="C4" s="2"/>
      <c r="D4" s="3"/>
    </row>
    <row r="5" spans="2:4" x14ac:dyDescent="0.15">
      <c r="B5" s="4" t="s">
        <v>29</v>
      </c>
      <c r="C5" s="5"/>
      <c r="D5" s="6"/>
    </row>
    <row r="6" spans="2:4" x14ac:dyDescent="0.15">
      <c r="B6" s="4" t="s">
        <v>30</v>
      </c>
      <c r="C6" s="5"/>
      <c r="D6" s="6"/>
    </row>
    <row r="7" spans="2:4" ht="17" thickBot="1" x14ac:dyDescent="0.25">
      <c r="B7" s="7" t="s">
        <v>31</v>
      </c>
      <c r="C7" s="8" t="str">
        <f>'Total Aufwand'!C20</f>
        <v>Juni</v>
      </c>
      <c r="D7" s="9"/>
    </row>
    <row r="8" spans="2:4" ht="5.25" customHeight="1" thickBot="1" x14ac:dyDescent="0.2">
      <c r="B8" s="10"/>
      <c r="C8" s="11"/>
      <c r="D8" s="12"/>
    </row>
    <row r="9" spans="2:4" x14ac:dyDescent="0.15">
      <c r="B9" s="13" t="s">
        <v>32</v>
      </c>
      <c r="C9" s="14" t="s">
        <v>5</v>
      </c>
      <c r="D9" s="15" t="s">
        <v>33</v>
      </c>
    </row>
    <row r="10" spans="2:4" ht="14" thickBot="1" x14ac:dyDescent="0.2">
      <c r="B10" s="16"/>
      <c r="C10" s="17" t="s">
        <v>6</v>
      </c>
      <c r="D10" s="18"/>
    </row>
    <row r="11" spans="2:4" ht="15.75" customHeight="1" x14ac:dyDescent="0.15">
      <c r="B11" s="58" t="s">
        <v>187</v>
      </c>
      <c r="C11" s="23">
        <v>2</v>
      </c>
      <c r="D11" s="61" t="s">
        <v>404</v>
      </c>
    </row>
    <row r="12" spans="2:4" ht="15.75" customHeight="1" x14ac:dyDescent="0.15">
      <c r="B12" s="60" t="s">
        <v>188</v>
      </c>
      <c r="D12" s="24"/>
    </row>
    <row r="13" spans="2:4" ht="15.75" customHeight="1" x14ac:dyDescent="0.15">
      <c r="B13" s="58" t="s">
        <v>189</v>
      </c>
      <c r="C13" s="23"/>
      <c r="D13" s="24"/>
    </row>
    <row r="14" spans="2:4" ht="15.75" customHeight="1" x14ac:dyDescent="0.15">
      <c r="B14" s="60" t="s">
        <v>190</v>
      </c>
      <c r="C14" s="23">
        <v>3</v>
      </c>
      <c r="D14" s="62" t="s">
        <v>405</v>
      </c>
    </row>
    <row r="15" spans="2:4" ht="15.75" customHeight="1" x14ac:dyDescent="0.15">
      <c r="B15" s="58" t="s">
        <v>191</v>
      </c>
      <c r="C15" s="23"/>
      <c r="D15" s="24"/>
    </row>
    <row r="16" spans="2:4" ht="15.75" customHeight="1" x14ac:dyDescent="0.15">
      <c r="B16" s="60" t="s">
        <v>192</v>
      </c>
      <c r="C16" s="23"/>
      <c r="D16" s="24"/>
    </row>
    <row r="17" spans="2:4" ht="15.75" customHeight="1" x14ac:dyDescent="0.15">
      <c r="B17" s="58" t="s">
        <v>193</v>
      </c>
      <c r="C17" s="23"/>
      <c r="D17" s="24"/>
    </row>
    <row r="18" spans="2:4" ht="15.75" customHeight="1" x14ac:dyDescent="0.15">
      <c r="B18" s="60" t="s">
        <v>194</v>
      </c>
      <c r="C18" s="23"/>
      <c r="D18" s="24"/>
    </row>
    <row r="19" spans="2:4" ht="15.75" customHeight="1" x14ac:dyDescent="0.15">
      <c r="B19" s="58" t="s">
        <v>195</v>
      </c>
      <c r="C19" s="23"/>
      <c r="D19" s="24"/>
    </row>
    <row r="20" spans="2:4" ht="15.75" customHeight="1" x14ac:dyDescent="0.15">
      <c r="B20" s="60" t="s">
        <v>196</v>
      </c>
      <c r="C20" s="23"/>
      <c r="D20" s="24"/>
    </row>
    <row r="21" spans="2:4" ht="15.75" customHeight="1" x14ac:dyDescent="0.15">
      <c r="B21" s="58" t="s">
        <v>197</v>
      </c>
      <c r="C21" s="23">
        <v>1.5</v>
      </c>
      <c r="D21" s="62" t="s">
        <v>406</v>
      </c>
    </row>
    <row r="22" spans="2:4" ht="15.75" customHeight="1" x14ac:dyDescent="0.15">
      <c r="B22" s="60" t="s">
        <v>198</v>
      </c>
      <c r="C22" s="23"/>
      <c r="D22" s="24"/>
    </row>
    <row r="23" spans="2:4" ht="15.75" customHeight="1" x14ac:dyDescent="0.15">
      <c r="B23" s="58" t="s">
        <v>199</v>
      </c>
      <c r="C23" s="23"/>
      <c r="D23" s="24"/>
    </row>
    <row r="24" spans="2:4" ht="15.75" customHeight="1" x14ac:dyDescent="0.15">
      <c r="B24" s="60" t="s">
        <v>200</v>
      </c>
      <c r="C24" s="23"/>
      <c r="D24" s="24"/>
    </row>
    <row r="25" spans="2:4" ht="15.75" customHeight="1" x14ac:dyDescent="0.15">
      <c r="B25" s="58" t="s">
        <v>201</v>
      </c>
      <c r="C25" s="23"/>
      <c r="D25" s="24"/>
    </row>
    <row r="26" spans="2:4" ht="15.75" customHeight="1" x14ac:dyDescent="0.15">
      <c r="B26" s="60" t="s">
        <v>202</v>
      </c>
      <c r="C26" s="23"/>
      <c r="D26" s="24"/>
    </row>
    <row r="27" spans="2:4" ht="15.75" customHeight="1" x14ac:dyDescent="0.15">
      <c r="B27" s="58" t="s">
        <v>203</v>
      </c>
      <c r="C27" s="23"/>
      <c r="D27" s="24"/>
    </row>
    <row r="28" spans="2:4" ht="15.75" customHeight="1" x14ac:dyDescent="0.15">
      <c r="B28" s="60" t="s">
        <v>204</v>
      </c>
      <c r="C28" s="23">
        <v>1.5</v>
      </c>
      <c r="D28" s="24" t="s">
        <v>406</v>
      </c>
    </row>
    <row r="29" spans="2:4" ht="15.75" customHeight="1" x14ac:dyDescent="0.15">
      <c r="B29" s="58" t="s">
        <v>205</v>
      </c>
      <c r="C29" s="23"/>
      <c r="D29" s="24"/>
    </row>
    <row r="30" spans="2:4" ht="15.75" customHeight="1" x14ac:dyDescent="0.15">
      <c r="B30" s="60" t="s">
        <v>206</v>
      </c>
      <c r="C30" s="23"/>
      <c r="D30" s="24"/>
    </row>
    <row r="31" spans="2:4" ht="15.75" customHeight="1" x14ac:dyDescent="0.15">
      <c r="B31" s="58" t="s">
        <v>207</v>
      </c>
      <c r="C31" s="23"/>
      <c r="D31" s="24"/>
    </row>
    <row r="32" spans="2:4" ht="15.75" customHeight="1" x14ac:dyDescent="0.15">
      <c r="B32" s="60" t="s">
        <v>208</v>
      </c>
      <c r="C32" s="23"/>
      <c r="D32" s="24"/>
    </row>
    <row r="33" spans="2:4" ht="15.75" customHeight="1" x14ac:dyDescent="0.15">
      <c r="B33" s="58" t="s">
        <v>209</v>
      </c>
      <c r="C33" s="23"/>
      <c r="D33" s="24"/>
    </row>
    <row r="34" spans="2:4" ht="15.75" customHeight="1" x14ac:dyDescent="0.15">
      <c r="B34" s="60" t="s">
        <v>210</v>
      </c>
      <c r="C34" s="23"/>
      <c r="D34" s="24"/>
    </row>
    <row r="35" spans="2:4" ht="15.75" customHeight="1" x14ac:dyDescent="0.15">
      <c r="B35" s="58" t="s">
        <v>211</v>
      </c>
      <c r="C35" s="23">
        <v>1.5</v>
      </c>
      <c r="D35" s="24" t="s">
        <v>406</v>
      </c>
    </row>
    <row r="36" spans="2:4" ht="15.75" customHeight="1" x14ac:dyDescent="0.15">
      <c r="B36" s="60" t="s">
        <v>212</v>
      </c>
      <c r="C36" s="23">
        <v>2</v>
      </c>
      <c r="D36" s="62" t="s">
        <v>407</v>
      </c>
    </row>
    <row r="37" spans="2:4" ht="15.75" customHeight="1" x14ac:dyDescent="0.15">
      <c r="B37" s="58" t="s">
        <v>213</v>
      </c>
      <c r="C37" s="23">
        <v>3</v>
      </c>
      <c r="D37" s="62" t="s">
        <v>475</v>
      </c>
    </row>
    <row r="38" spans="2:4" ht="15.75" customHeight="1" x14ac:dyDescent="0.15">
      <c r="B38" s="60" t="s">
        <v>214</v>
      </c>
      <c r="C38" s="23"/>
      <c r="D38" s="24"/>
    </row>
    <row r="39" spans="2:4" ht="15.75" customHeight="1" x14ac:dyDescent="0.15">
      <c r="B39" s="58" t="s">
        <v>215</v>
      </c>
      <c r="C39" s="23"/>
      <c r="D39" s="24"/>
    </row>
    <row r="40" spans="2:4" ht="15.75" customHeight="1" x14ac:dyDescent="0.15">
      <c r="B40" s="60" t="s">
        <v>216</v>
      </c>
      <c r="C40" s="23"/>
      <c r="D40" s="24"/>
    </row>
    <row r="41" spans="2:4" ht="6.75" customHeight="1" thickBot="1" x14ac:dyDescent="0.2">
      <c r="B41" s="10"/>
      <c r="C41" s="27"/>
      <c r="D41" s="28"/>
    </row>
    <row r="42" spans="2:4" ht="14" thickBot="1" x14ac:dyDescent="0.2">
      <c r="B42" s="29" t="s">
        <v>65</v>
      </c>
      <c r="C42" s="30">
        <f>SUM(C11:C40)</f>
        <v>14.5</v>
      </c>
      <c r="D42" s="31"/>
    </row>
    <row r="43" spans="2:4" ht="14" thickBot="1" x14ac:dyDescent="0.2">
      <c r="B43" s="32" t="s">
        <v>66</v>
      </c>
      <c r="C43" s="33">
        <f>C42/8</f>
        <v>1.8125</v>
      </c>
      <c r="D43" s="32"/>
    </row>
    <row r="44" spans="2:4" ht="6.75" customHeight="1" x14ac:dyDescent="0.15">
      <c r="C44" s="27"/>
    </row>
  </sheetData>
  <phoneticPr fontId="0" type="noConversion"/>
  <pageMargins left="0.78740157480314965" right="0.78740157480314965" top="0.39370078740157483" bottom="0.39370078740157483" header="0.51181102362204722" footer="0.51181102362204722"/>
  <pageSetup paperSize="9" scale="6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D45"/>
  <sheetViews>
    <sheetView view="pageBreakPreview" zoomScale="60" zoomScaleNormal="87" workbookViewId="0">
      <selection sqref="A1:XFD1"/>
    </sheetView>
  </sheetViews>
  <sheetFormatPr baseColWidth="10" defaultColWidth="11.33203125" defaultRowHeight="13" x14ac:dyDescent="0.15"/>
  <cols>
    <col min="2" max="2" width="18.6640625" customWidth="1"/>
    <col min="3" max="3" width="12" customWidth="1"/>
    <col min="4" max="4" width="133" customWidth="1"/>
  </cols>
  <sheetData>
    <row r="2" spans="2:4" ht="21" customHeight="1" x14ac:dyDescent="0.2">
      <c r="B2" s="57" t="s">
        <v>403</v>
      </c>
      <c r="C2" s="57"/>
      <c r="D2" s="57" t="s">
        <v>402</v>
      </c>
    </row>
    <row r="3" spans="2:4" ht="5.25" customHeight="1" thickBot="1" x14ac:dyDescent="0.2"/>
    <row r="4" spans="2:4" ht="20" x14ac:dyDescent="0.2">
      <c r="B4" s="1" t="s">
        <v>28</v>
      </c>
      <c r="C4" s="2"/>
      <c r="D4" s="3"/>
    </row>
    <row r="5" spans="2:4" x14ac:dyDescent="0.15">
      <c r="B5" s="4" t="s">
        <v>29</v>
      </c>
      <c r="C5" s="5"/>
      <c r="D5" s="6"/>
    </row>
    <row r="6" spans="2:4" x14ac:dyDescent="0.15">
      <c r="B6" s="4" t="s">
        <v>30</v>
      </c>
      <c r="C6" s="5"/>
      <c r="D6" s="6"/>
    </row>
    <row r="7" spans="2:4" ht="17" thickBot="1" x14ac:dyDescent="0.25">
      <c r="B7" s="7" t="s">
        <v>31</v>
      </c>
      <c r="C7" s="8" t="str">
        <f>'Total Aufwand'!C21</f>
        <v>Juli</v>
      </c>
      <c r="D7" s="9"/>
    </row>
    <row r="8" spans="2:4" ht="5.25" customHeight="1" thickBot="1" x14ac:dyDescent="0.2">
      <c r="B8" s="10"/>
      <c r="C8" s="11"/>
      <c r="D8" s="12"/>
    </row>
    <row r="9" spans="2:4" x14ac:dyDescent="0.15">
      <c r="B9" s="13" t="s">
        <v>32</v>
      </c>
      <c r="C9" s="14" t="s">
        <v>5</v>
      </c>
      <c r="D9" s="15" t="s">
        <v>33</v>
      </c>
    </row>
    <row r="10" spans="2:4" ht="14" thickBot="1" x14ac:dyDescent="0.2">
      <c r="B10" s="16"/>
      <c r="C10" s="17" t="s">
        <v>6</v>
      </c>
      <c r="D10" s="18"/>
    </row>
    <row r="11" spans="2:4" ht="15.75" customHeight="1" x14ac:dyDescent="0.15">
      <c r="B11" s="58" t="s">
        <v>217</v>
      </c>
      <c r="C11" s="20"/>
      <c r="D11" s="21"/>
    </row>
    <row r="12" spans="2:4" ht="15.75" customHeight="1" x14ac:dyDescent="0.15">
      <c r="B12" s="58" t="s">
        <v>218</v>
      </c>
      <c r="C12" s="23">
        <v>1.5</v>
      </c>
      <c r="D12" s="62" t="s">
        <v>406</v>
      </c>
    </row>
    <row r="13" spans="2:4" ht="15.75" customHeight="1" x14ac:dyDescent="0.15">
      <c r="B13" s="58" t="s">
        <v>219</v>
      </c>
      <c r="C13" s="23"/>
      <c r="D13" s="24"/>
    </row>
    <row r="14" spans="2:4" ht="15.75" customHeight="1" x14ac:dyDescent="0.15">
      <c r="B14" s="58" t="s">
        <v>220</v>
      </c>
      <c r="C14" s="23"/>
      <c r="D14" s="24"/>
    </row>
    <row r="15" spans="2:4" ht="15.75" customHeight="1" x14ac:dyDescent="0.15">
      <c r="B15" s="58" t="s">
        <v>221</v>
      </c>
      <c r="C15" s="23">
        <v>2</v>
      </c>
      <c r="D15" s="62" t="s">
        <v>404</v>
      </c>
    </row>
    <row r="16" spans="2:4" ht="15.75" customHeight="1" x14ac:dyDescent="0.15">
      <c r="B16" s="58" t="s">
        <v>222</v>
      </c>
      <c r="C16" s="23">
        <v>2</v>
      </c>
      <c r="D16" s="62" t="s">
        <v>408</v>
      </c>
    </row>
    <row r="17" spans="2:4" ht="15.75" customHeight="1" x14ac:dyDescent="0.15">
      <c r="B17" s="58" t="s">
        <v>223</v>
      </c>
      <c r="C17" s="23">
        <v>2</v>
      </c>
      <c r="D17" s="62" t="s">
        <v>409</v>
      </c>
    </row>
    <row r="18" spans="2:4" ht="15.75" customHeight="1" x14ac:dyDescent="0.15">
      <c r="B18" s="58" t="s">
        <v>224</v>
      </c>
      <c r="C18" s="23"/>
      <c r="D18" s="24"/>
    </row>
    <row r="19" spans="2:4" ht="15.75" customHeight="1" x14ac:dyDescent="0.15">
      <c r="B19" s="58" t="s">
        <v>225</v>
      </c>
      <c r="C19" s="23">
        <v>1.5</v>
      </c>
      <c r="D19" s="62" t="s">
        <v>406</v>
      </c>
    </row>
    <row r="20" spans="2:4" ht="15.75" customHeight="1" x14ac:dyDescent="0.15">
      <c r="B20" s="58" t="s">
        <v>226</v>
      </c>
      <c r="C20" s="23">
        <v>1</v>
      </c>
      <c r="D20" s="62" t="s">
        <v>410</v>
      </c>
    </row>
    <row r="21" spans="2:4" ht="15.75" customHeight="1" x14ac:dyDescent="0.15">
      <c r="B21" s="58" t="s">
        <v>227</v>
      </c>
      <c r="C21" s="23"/>
      <c r="D21" s="24"/>
    </row>
    <row r="22" spans="2:4" ht="15.75" customHeight="1" x14ac:dyDescent="0.15">
      <c r="B22" s="58" t="s">
        <v>228</v>
      </c>
      <c r="C22" s="23"/>
      <c r="D22" s="24"/>
    </row>
    <row r="23" spans="2:4" ht="15.75" customHeight="1" x14ac:dyDescent="0.15">
      <c r="B23" s="58" t="s">
        <v>229</v>
      </c>
      <c r="C23" s="23"/>
      <c r="D23" s="24"/>
    </row>
    <row r="24" spans="2:4" ht="15.75" customHeight="1" x14ac:dyDescent="0.15">
      <c r="B24" s="58" t="s">
        <v>230</v>
      </c>
      <c r="C24" s="23"/>
      <c r="D24" s="24"/>
    </row>
    <row r="25" spans="2:4" ht="15.75" customHeight="1" x14ac:dyDescent="0.15">
      <c r="B25" s="58" t="s">
        <v>231</v>
      </c>
      <c r="C25" s="23"/>
      <c r="D25" s="24"/>
    </row>
    <row r="26" spans="2:4" ht="15.75" customHeight="1" x14ac:dyDescent="0.15">
      <c r="B26" s="58" t="s">
        <v>232</v>
      </c>
      <c r="C26" s="23">
        <v>1.5</v>
      </c>
      <c r="D26" s="62" t="s">
        <v>406</v>
      </c>
    </row>
    <row r="27" spans="2:4" ht="15.75" customHeight="1" x14ac:dyDescent="0.15">
      <c r="B27" s="58" t="s">
        <v>233</v>
      </c>
      <c r="C27" s="23"/>
      <c r="D27" s="24"/>
    </row>
    <row r="28" spans="2:4" ht="15.75" customHeight="1" x14ac:dyDescent="0.15">
      <c r="B28" s="58" t="s">
        <v>234</v>
      </c>
      <c r="C28" s="23"/>
      <c r="D28" s="24"/>
    </row>
    <row r="29" spans="2:4" ht="15.75" customHeight="1" x14ac:dyDescent="0.15">
      <c r="B29" s="58" t="s">
        <v>235</v>
      </c>
      <c r="C29" s="23">
        <v>2</v>
      </c>
      <c r="D29" s="62" t="s">
        <v>411</v>
      </c>
    </row>
    <row r="30" spans="2:4" ht="15.75" customHeight="1" x14ac:dyDescent="0.15">
      <c r="B30" s="58" t="s">
        <v>236</v>
      </c>
      <c r="C30" s="23"/>
      <c r="D30" s="24"/>
    </row>
    <row r="31" spans="2:4" ht="15.75" customHeight="1" x14ac:dyDescent="0.15">
      <c r="B31" s="58" t="s">
        <v>237</v>
      </c>
      <c r="C31" s="23"/>
      <c r="D31" s="24"/>
    </row>
    <row r="32" spans="2:4" ht="15.75" customHeight="1" x14ac:dyDescent="0.15">
      <c r="B32" s="58" t="s">
        <v>238</v>
      </c>
      <c r="C32" s="23"/>
      <c r="D32" s="24"/>
    </row>
    <row r="33" spans="2:4" ht="15.75" customHeight="1" x14ac:dyDescent="0.15">
      <c r="B33" s="58" t="s">
        <v>239</v>
      </c>
      <c r="C33" s="23"/>
      <c r="D33" s="24"/>
    </row>
    <row r="34" spans="2:4" ht="15.75" customHeight="1" x14ac:dyDescent="0.15">
      <c r="B34" s="58" t="s">
        <v>240</v>
      </c>
      <c r="C34" s="23">
        <v>3</v>
      </c>
      <c r="D34" s="62" t="s">
        <v>412</v>
      </c>
    </row>
    <row r="35" spans="2:4" ht="15.75" customHeight="1" x14ac:dyDescent="0.15">
      <c r="B35" s="58" t="s">
        <v>241</v>
      </c>
      <c r="C35" s="23"/>
      <c r="D35" s="24"/>
    </row>
    <row r="36" spans="2:4" ht="15.75" customHeight="1" x14ac:dyDescent="0.15">
      <c r="B36" s="58" t="s">
        <v>242</v>
      </c>
      <c r="C36" s="23">
        <v>4.5</v>
      </c>
      <c r="D36" s="62" t="s">
        <v>498</v>
      </c>
    </row>
    <row r="37" spans="2:4" ht="15.75" customHeight="1" x14ac:dyDescent="0.15">
      <c r="B37" s="58" t="s">
        <v>243</v>
      </c>
      <c r="C37" s="23"/>
      <c r="D37" s="24"/>
    </row>
    <row r="38" spans="2:4" ht="15.75" customHeight="1" x14ac:dyDescent="0.15">
      <c r="B38" s="58" t="s">
        <v>244</v>
      </c>
      <c r="C38" s="23"/>
      <c r="D38" s="24"/>
    </row>
    <row r="39" spans="2:4" ht="15.75" customHeight="1" x14ac:dyDescent="0.15">
      <c r="B39" s="58" t="s">
        <v>245</v>
      </c>
      <c r="C39" s="23"/>
      <c r="D39" s="24"/>
    </row>
    <row r="40" spans="2:4" ht="15.75" customHeight="1" x14ac:dyDescent="0.15">
      <c r="B40" s="58" t="s">
        <v>246</v>
      </c>
      <c r="C40" s="23"/>
      <c r="D40" s="24"/>
    </row>
    <row r="41" spans="2:4" ht="15.75" customHeight="1" thickBot="1" x14ac:dyDescent="0.2">
      <c r="B41" s="58" t="s">
        <v>247</v>
      </c>
      <c r="C41" s="25"/>
      <c r="D41" s="26"/>
    </row>
    <row r="42" spans="2:4" ht="6.75" customHeight="1" thickBot="1" x14ac:dyDescent="0.2">
      <c r="B42" s="10"/>
      <c r="C42" s="27"/>
      <c r="D42" s="28"/>
    </row>
    <row r="43" spans="2:4" ht="14" thickBot="1" x14ac:dyDescent="0.2">
      <c r="B43" s="29" t="s">
        <v>65</v>
      </c>
      <c r="C43" s="30">
        <f>SUM(C11:C41)</f>
        <v>21</v>
      </c>
      <c r="D43" s="31"/>
    </row>
    <row r="44" spans="2:4" ht="14" thickBot="1" x14ac:dyDescent="0.2">
      <c r="B44" s="32" t="s">
        <v>66</v>
      </c>
      <c r="C44" s="33">
        <f>C43/8</f>
        <v>2.625</v>
      </c>
      <c r="D44" s="32"/>
    </row>
    <row r="45" spans="2:4" ht="6.75" customHeight="1" x14ac:dyDescent="0.15">
      <c r="C45" s="27"/>
    </row>
  </sheetData>
  <phoneticPr fontId="0" type="noConversion"/>
  <pageMargins left="0.78740157480314965" right="0.78740157480314965" top="0.39370078740157483" bottom="0.39370078740157483" header="0.51181102362204722" footer="0.51181102362204722"/>
  <pageSetup paperSize="9" scale="6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D44"/>
  <sheetViews>
    <sheetView view="pageBreakPreview" zoomScale="60" zoomScaleNormal="114" workbookViewId="0">
      <selection sqref="A1:A1048576"/>
    </sheetView>
  </sheetViews>
  <sheetFormatPr baseColWidth="10" defaultColWidth="11.33203125" defaultRowHeight="13" x14ac:dyDescent="0.15"/>
  <cols>
    <col min="2" max="2" width="20.33203125" customWidth="1"/>
    <col min="3" max="3" width="12" customWidth="1"/>
    <col min="4" max="4" width="133" customWidth="1"/>
  </cols>
  <sheetData>
    <row r="2" spans="2:4" ht="21" customHeight="1" x14ac:dyDescent="0.2">
      <c r="B2" s="57" t="s">
        <v>403</v>
      </c>
      <c r="C2" s="57"/>
      <c r="D2" s="57" t="s">
        <v>402</v>
      </c>
    </row>
    <row r="3" spans="2:4" ht="5.25" customHeight="1" thickBot="1" x14ac:dyDescent="0.2"/>
    <row r="4" spans="2:4" ht="20" x14ac:dyDescent="0.2">
      <c r="B4" s="1" t="s">
        <v>28</v>
      </c>
      <c r="C4" s="2"/>
      <c r="D4" s="3"/>
    </row>
    <row r="5" spans="2:4" x14ac:dyDescent="0.15">
      <c r="B5" s="4" t="s">
        <v>29</v>
      </c>
      <c r="C5" s="5"/>
      <c r="D5" s="6"/>
    </row>
    <row r="6" spans="2:4" x14ac:dyDescent="0.15">
      <c r="B6" s="4" t="s">
        <v>30</v>
      </c>
      <c r="C6" s="5"/>
      <c r="D6" s="6"/>
    </row>
    <row r="7" spans="2:4" ht="17" thickBot="1" x14ac:dyDescent="0.25">
      <c r="B7" s="7" t="s">
        <v>31</v>
      </c>
      <c r="C7" s="8" t="str">
        <f>'Total Aufwand'!C22</f>
        <v>August</v>
      </c>
      <c r="D7" s="9"/>
    </row>
    <row r="8" spans="2:4" ht="5.25" customHeight="1" thickBot="1" x14ac:dyDescent="0.2">
      <c r="B8" s="10"/>
      <c r="C8" s="11"/>
      <c r="D8" s="12"/>
    </row>
    <row r="9" spans="2:4" x14ac:dyDescent="0.15">
      <c r="B9" s="13" t="s">
        <v>32</v>
      </c>
      <c r="C9" s="14" t="s">
        <v>5</v>
      </c>
      <c r="D9" s="15" t="s">
        <v>33</v>
      </c>
    </row>
    <row r="10" spans="2:4" ht="14" thickBot="1" x14ac:dyDescent="0.2">
      <c r="B10" s="16"/>
      <c r="C10" s="17" t="s">
        <v>6</v>
      </c>
      <c r="D10" s="18"/>
    </row>
    <row r="11" spans="2:4" ht="15.75" customHeight="1" x14ac:dyDescent="0.15">
      <c r="B11" s="58" t="s">
        <v>248</v>
      </c>
      <c r="C11" s="20">
        <v>2.5</v>
      </c>
      <c r="D11" s="61" t="s">
        <v>500</v>
      </c>
    </row>
    <row r="12" spans="2:4" ht="15.75" customHeight="1" x14ac:dyDescent="0.15">
      <c r="B12" s="58" t="s">
        <v>249</v>
      </c>
      <c r="C12" s="23"/>
      <c r="D12" s="24"/>
    </row>
    <row r="13" spans="2:4" ht="15.75" customHeight="1" x14ac:dyDescent="0.15">
      <c r="B13" s="58" t="s">
        <v>250</v>
      </c>
      <c r="C13" s="23"/>
      <c r="D13" s="24"/>
    </row>
    <row r="14" spans="2:4" ht="15.75" customHeight="1" x14ac:dyDescent="0.15">
      <c r="B14" s="58" t="s">
        <v>251</v>
      </c>
      <c r="C14" s="23"/>
      <c r="D14" s="24"/>
    </row>
    <row r="15" spans="2:4" ht="15.75" customHeight="1" x14ac:dyDescent="0.15">
      <c r="B15" s="58" t="s">
        <v>252</v>
      </c>
      <c r="C15" s="23">
        <v>2</v>
      </c>
      <c r="D15" s="62" t="s">
        <v>499</v>
      </c>
    </row>
    <row r="16" spans="2:4" ht="15.75" customHeight="1" x14ac:dyDescent="0.15">
      <c r="B16" s="58" t="s">
        <v>253</v>
      </c>
      <c r="C16" s="23">
        <v>5</v>
      </c>
      <c r="D16" s="62" t="s">
        <v>413</v>
      </c>
    </row>
    <row r="17" spans="2:4" ht="15.75" customHeight="1" x14ac:dyDescent="0.15">
      <c r="B17" s="58" t="s">
        <v>254</v>
      </c>
      <c r="C17" s="23"/>
      <c r="D17" s="24"/>
    </row>
    <row r="18" spans="2:4" ht="15.75" customHeight="1" x14ac:dyDescent="0.15">
      <c r="B18" s="58" t="s">
        <v>255</v>
      </c>
      <c r="C18" s="23"/>
      <c r="D18" s="24"/>
    </row>
    <row r="19" spans="2:4" ht="15.75" customHeight="1" x14ac:dyDescent="0.15">
      <c r="B19" s="58" t="s">
        <v>256</v>
      </c>
      <c r="C19" s="23"/>
      <c r="D19" s="24"/>
    </row>
    <row r="20" spans="2:4" ht="15.75" customHeight="1" x14ac:dyDescent="0.15">
      <c r="B20" s="58" t="s">
        <v>257</v>
      </c>
      <c r="C20" s="23">
        <v>3</v>
      </c>
      <c r="D20" s="62" t="s">
        <v>420</v>
      </c>
    </row>
    <row r="21" spans="2:4" ht="15.75" customHeight="1" x14ac:dyDescent="0.15">
      <c r="B21" s="58" t="s">
        <v>258</v>
      </c>
      <c r="C21" s="23"/>
      <c r="D21" s="24"/>
    </row>
    <row r="22" spans="2:4" ht="15.75" customHeight="1" x14ac:dyDescent="0.15">
      <c r="B22" s="58" t="s">
        <v>259</v>
      </c>
      <c r="C22" s="23">
        <v>2</v>
      </c>
      <c r="D22" s="62" t="s">
        <v>414</v>
      </c>
    </row>
    <row r="23" spans="2:4" ht="15.75" customHeight="1" x14ac:dyDescent="0.15">
      <c r="B23" s="58" t="s">
        <v>260</v>
      </c>
      <c r="C23" s="23">
        <v>4</v>
      </c>
      <c r="D23" s="62" t="s">
        <v>415</v>
      </c>
    </row>
    <row r="24" spans="2:4" ht="15.75" customHeight="1" x14ac:dyDescent="0.15">
      <c r="B24" s="58" t="s">
        <v>261</v>
      </c>
      <c r="C24" s="23">
        <v>5</v>
      </c>
      <c r="D24" s="62" t="s">
        <v>518</v>
      </c>
    </row>
    <row r="25" spans="2:4" ht="15.75" customHeight="1" x14ac:dyDescent="0.15">
      <c r="B25" s="58" t="s">
        <v>262</v>
      </c>
      <c r="C25" s="23"/>
      <c r="D25" s="24"/>
    </row>
    <row r="26" spans="2:4" ht="15.75" customHeight="1" x14ac:dyDescent="0.15">
      <c r="B26" s="58" t="s">
        <v>263</v>
      </c>
      <c r="C26" s="23">
        <v>3</v>
      </c>
      <c r="D26" s="62" t="s">
        <v>517</v>
      </c>
    </row>
    <row r="27" spans="2:4" ht="15.75" customHeight="1" x14ac:dyDescent="0.15">
      <c r="B27" s="58" t="s">
        <v>264</v>
      </c>
      <c r="C27" s="23"/>
      <c r="D27" s="24"/>
    </row>
    <row r="28" spans="2:4" ht="15.75" customHeight="1" x14ac:dyDescent="0.15">
      <c r="B28" s="58" t="s">
        <v>265</v>
      </c>
      <c r="C28" s="23"/>
      <c r="D28" s="24"/>
    </row>
    <row r="29" spans="2:4" ht="15.75" customHeight="1" x14ac:dyDescent="0.15">
      <c r="B29" s="58" t="s">
        <v>266</v>
      </c>
      <c r="C29" s="23"/>
      <c r="D29" s="24"/>
    </row>
    <row r="30" spans="2:4" ht="15.75" customHeight="1" x14ac:dyDescent="0.15">
      <c r="B30" s="58" t="s">
        <v>267</v>
      </c>
      <c r="C30" s="23"/>
      <c r="D30" s="24"/>
    </row>
    <row r="31" spans="2:4" ht="15.75" customHeight="1" x14ac:dyDescent="0.15">
      <c r="B31" s="58" t="s">
        <v>268</v>
      </c>
      <c r="C31" s="23"/>
      <c r="D31" s="24"/>
    </row>
    <row r="32" spans="2:4" ht="15.75" customHeight="1" x14ac:dyDescent="0.15">
      <c r="B32" s="58" t="s">
        <v>269</v>
      </c>
      <c r="C32" s="23">
        <v>2</v>
      </c>
      <c r="D32" s="62" t="s">
        <v>416</v>
      </c>
    </row>
    <row r="33" spans="2:4" ht="15.75" customHeight="1" x14ac:dyDescent="0.15">
      <c r="B33" s="58" t="s">
        <v>270</v>
      </c>
      <c r="C33" s="23"/>
      <c r="D33" s="24"/>
    </row>
    <row r="34" spans="2:4" ht="15.75" customHeight="1" x14ac:dyDescent="0.15">
      <c r="B34" s="58" t="s">
        <v>271</v>
      </c>
      <c r="C34" s="23">
        <v>2</v>
      </c>
      <c r="D34" s="62" t="s">
        <v>519</v>
      </c>
    </row>
    <row r="35" spans="2:4" ht="15.75" customHeight="1" x14ac:dyDescent="0.15">
      <c r="B35" s="58" t="s">
        <v>272</v>
      </c>
      <c r="C35" s="23">
        <v>3</v>
      </c>
      <c r="D35" s="62" t="s">
        <v>417</v>
      </c>
    </row>
    <row r="36" spans="2:4" ht="15.75" customHeight="1" x14ac:dyDescent="0.15">
      <c r="B36" s="58" t="s">
        <v>273</v>
      </c>
      <c r="C36" s="23"/>
      <c r="D36" s="24"/>
    </row>
    <row r="37" spans="2:4" ht="15.75" customHeight="1" x14ac:dyDescent="0.15">
      <c r="B37" s="58" t="s">
        <v>274</v>
      </c>
      <c r="C37" s="23">
        <v>2</v>
      </c>
      <c r="D37" s="62" t="s">
        <v>418</v>
      </c>
    </row>
    <row r="38" spans="2:4" ht="15.75" customHeight="1" x14ac:dyDescent="0.15">
      <c r="B38" s="58" t="s">
        <v>275</v>
      </c>
      <c r="C38" s="23"/>
      <c r="D38" s="24"/>
    </row>
    <row r="39" spans="2:4" ht="15.75" customHeight="1" x14ac:dyDescent="0.15">
      <c r="B39" s="58" t="s">
        <v>276</v>
      </c>
      <c r="C39" s="23">
        <v>3</v>
      </c>
      <c r="D39" s="62" t="s">
        <v>419</v>
      </c>
    </row>
    <row r="40" spans="2:4" ht="15.75" customHeight="1" x14ac:dyDescent="0.15">
      <c r="B40" s="58" t="s">
        <v>277</v>
      </c>
      <c r="C40" s="23"/>
      <c r="D40" s="24"/>
    </row>
    <row r="41" spans="2:4" ht="15.75" customHeight="1" thickBot="1" x14ac:dyDescent="0.2">
      <c r="B41" s="58" t="s">
        <v>278</v>
      </c>
      <c r="C41" s="25"/>
      <c r="D41" s="26"/>
    </row>
    <row r="42" spans="2:4" ht="6.75" customHeight="1" thickBot="1" x14ac:dyDescent="0.2">
      <c r="B42" s="10"/>
      <c r="C42" s="27"/>
      <c r="D42" s="28"/>
    </row>
    <row r="43" spans="2:4" ht="14" thickBot="1" x14ac:dyDescent="0.2">
      <c r="B43" s="29" t="s">
        <v>65</v>
      </c>
      <c r="C43" s="30">
        <f>SUM(C11:C41)</f>
        <v>38.5</v>
      </c>
      <c r="D43" s="31"/>
    </row>
    <row r="44" spans="2:4" ht="14" thickBot="1" x14ac:dyDescent="0.2">
      <c r="B44" s="32" t="s">
        <v>66</v>
      </c>
      <c r="C44" s="33">
        <f>C43/8</f>
        <v>4.8125</v>
      </c>
      <c r="D44" s="32"/>
    </row>
  </sheetData>
  <phoneticPr fontId="0" type="noConversion"/>
  <pageMargins left="0.78740157480314965" right="0.78740157480314965" top="0.39370078740157483" bottom="0.39370078740157483" header="0.51181102362204722" footer="0.51181102362204722"/>
  <pageSetup paperSize="9" scale="6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D44"/>
  <sheetViews>
    <sheetView view="pageBreakPreview" zoomScale="60" zoomScaleNormal="92" workbookViewId="0">
      <selection sqref="A1:XFD1"/>
    </sheetView>
  </sheetViews>
  <sheetFormatPr baseColWidth="10" defaultColWidth="11.33203125" defaultRowHeight="13" x14ac:dyDescent="0.15"/>
  <cols>
    <col min="2" max="2" width="18.6640625" customWidth="1"/>
    <col min="3" max="3" width="12" customWidth="1"/>
    <col min="4" max="4" width="133" customWidth="1"/>
  </cols>
  <sheetData>
    <row r="2" spans="2:4" ht="21" customHeight="1" x14ac:dyDescent="0.2">
      <c r="B2" s="57" t="s">
        <v>403</v>
      </c>
      <c r="C2" s="57"/>
      <c r="D2" s="57" t="s">
        <v>402</v>
      </c>
    </row>
    <row r="3" spans="2:4" ht="5.25" customHeight="1" thickBot="1" x14ac:dyDescent="0.2"/>
    <row r="4" spans="2:4" ht="20" x14ac:dyDescent="0.2">
      <c r="B4" s="1" t="s">
        <v>28</v>
      </c>
      <c r="C4" s="2"/>
      <c r="D4" s="3"/>
    </row>
    <row r="5" spans="2:4" x14ac:dyDescent="0.15">
      <c r="B5" s="4" t="s">
        <v>29</v>
      </c>
      <c r="C5" s="5"/>
      <c r="D5" s="6"/>
    </row>
    <row r="6" spans="2:4" x14ac:dyDescent="0.15">
      <c r="B6" s="4" t="s">
        <v>30</v>
      </c>
      <c r="C6" s="5"/>
      <c r="D6" s="6"/>
    </row>
    <row r="7" spans="2:4" ht="17" thickBot="1" x14ac:dyDescent="0.25">
      <c r="B7" s="7" t="s">
        <v>31</v>
      </c>
      <c r="C7" s="8" t="str">
        <f>'Total Aufwand'!C23</f>
        <v>September</v>
      </c>
      <c r="D7" s="9"/>
    </row>
    <row r="8" spans="2:4" ht="5.25" customHeight="1" thickBot="1" x14ac:dyDescent="0.2">
      <c r="B8" s="10"/>
      <c r="C8" s="11"/>
      <c r="D8" s="12"/>
    </row>
    <row r="9" spans="2:4" x14ac:dyDescent="0.15">
      <c r="B9" s="13" t="s">
        <v>32</v>
      </c>
      <c r="C9" s="14" t="s">
        <v>5</v>
      </c>
      <c r="D9" s="15" t="s">
        <v>33</v>
      </c>
    </row>
    <row r="10" spans="2:4" ht="14" thickBot="1" x14ac:dyDescent="0.2">
      <c r="B10" s="16"/>
      <c r="C10" s="17" t="s">
        <v>6</v>
      </c>
      <c r="D10" s="18"/>
    </row>
    <row r="11" spans="2:4" ht="15.75" customHeight="1" x14ac:dyDescent="0.15">
      <c r="B11" s="58" t="s">
        <v>279</v>
      </c>
      <c r="C11" s="20"/>
      <c r="D11" s="21"/>
    </row>
    <row r="12" spans="2:4" ht="15.75" customHeight="1" x14ac:dyDescent="0.15">
      <c r="B12" s="58" t="s">
        <v>280</v>
      </c>
      <c r="C12" s="23">
        <v>2</v>
      </c>
      <c r="D12" s="62" t="s">
        <v>421</v>
      </c>
    </row>
    <row r="13" spans="2:4" ht="15.75" customHeight="1" x14ac:dyDescent="0.15">
      <c r="B13" s="58" t="s">
        <v>281</v>
      </c>
      <c r="C13" s="23"/>
      <c r="D13" s="24"/>
    </row>
    <row r="14" spans="2:4" ht="15.75" customHeight="1" x14ac:dyDescent="0.15">
      <c r="B14" s="58" t="s">
        <v>282</v>
      </c>
      <c r="C14" s="23"/>
      <c r="D14" s="24"/>
    </row>
    <row r="15" spans="2:4" ht="15.75" customHeight="1" x14ac:dyDescent="0.15">
      <c r="B15" s="58" t="s">
        <v>283</v>
      </c>
      <c r="C15" s="23">
        <v>1.5</v>
      </c>
      <c r="D15" s="62" t="s">
        <v>422</v>
      </c>
    </row>
    <row r="16" spans="2:4" ht="15.75" customHeight="1" x14ac:dyDescent="0.15">
      <c r="B16" s="58" t="s">
        <v>284</v>
      </c>
      <c r="C16" s="23">
        <v>3</v>
      </c>
      <c r="D16" s="62" t="s">
        <v>423</v>
      </c>
    </row>
    <row r="17" spans="2:4" ht="15.75" customHeight="1" x14ac:dyDescent="0.15">
      <c r="B17" s="58" t="s">
        <v>285</v>
      </c>
      <c r="C17" s="23"/>
      <c r="D17" s="24"/>
    </row>
    <row r="18" spans="2:4" ht="15.75" customHeight="1" x14ac:dyDescent="0.15">
      <c r="B18" s="58" t="s">
        <v>286</v>
      </c>
      <c r="C18" s="23">
        <v>2</v>
      </c>
      <c r="D18" s="62" t="s">
        <v>424</v>
      </c>
    </row>
    <row r="19" spans="2:4" ht="15.75" customHeight="1" x14ac:dyDescent="0.15">
      <c r="B19" s="58" t="s">
        <v>287</v>
      </c>
      <c r="C19" s="23">
        <v>4</v>
      </c>
      <c r="D19" s="62" t="s">
        <v>425</v>
      </c>
    </row>
    <row r="20" spans="2:4" ht="15.75" customHeight="1" x14ac:dyDescent="0.15">
      <c r="B20" s="58" t="s">
        <v>288</v>
      </c>
      <c r="C20" s="23"/>
      <c r="D20" s="24"/>
    </row>
    <row r="21" spans="2:4" ht="15.75" customHeight="1" x14ac:dyDescent="0.15">
      <c r="B21" s="58" t="s">
        <v>289</v>
      </c>
      <c r="C21" s="23"/>
      <c r="D21" s="24"/>
    </row>
    <row r="22" spans="2:4" ht="15.75" customHeight="1" x14ac:dyDescent="0.15">
      <c r="B22" s="58" t="s">
        <v>290</v>
      </c>
      <c r="C22" s="23"/>
      <c r="D22" s="24"/>
    </row>
    <row r="23" spans="2:4" ht="15.75" customHeight="1" x14ac:dyDescent="0.15">
      <c r="B23" s="58" t="s">
        <v>291</v>
      </c>
      <c r="C23" s="23"/>
      <c r="D23" s="24"/>
    </row>
    <row r="24" spans="2:4" ht="15.75" customHeight="1" x14ac:dyDescent="0.15">
      <c r="B24" s="58" t="s">
        <v>292</v>
      </c>
      <c r="C24" s="23"/>
      <c r="D24" s="24"/>
    </row>
    <row r="25" spans="2:4" ht="15.75" customHeight="1" x14ac:dyDescent="0.15">
      <c r="B25" s="58" t="s">
        <v>293</v>
      </c>
      <c r="C25" s="23"/>
      <c r="D25" s="24"/>
    </row>
    <row r="26" spans="2:4" ht="15.75" customHeight="1" x14ac:dyDescent="0.15">
      <c r="B26" s="58" t="s">
        <v>294</v>
      </c>
      <c r="C26" s="23">
        <v>2</v>
      </c>
      <c r="D26" s="24" t="s">
        <v>421</v>
      </c>
    </row>
    <row r="27" spans="2:4" ht="15.75" customHeight="1" x14ac:dyDescent="0.15">
      <c r="B27" s="58" t="s">
        <v>295</v>
      </c>
      <c r="C27" s="23"/>
      <c r="D27" s="24"/>
    </row>
    <row r="28" spans="2:4" ht="15.75" customHeight="1" x14ac:dyDescent="0.15">
      <c r="B28" s="58" t="s">
        <v>296</v>
      </c>
      <c r="C28" s="23">
        <v>2</v>
      </c>
      <c r="D28" s="62" t="s">
        <v>426</v>
      </c>
    </row>
    <row r="29" spans="2:4" ht="15.75" customHeight="1" x14ac:dyDescent="0.15">
      <c r="B29" s="58" t="s">
        <v>297</v>
      </c>
      <c r="C29" s="23"/>
    </row>
    <row r="30" spans="2:4" ht="15.75" customHeight="1" x14ac:dyDescent="0.15">
      <c r="B30" s="58" t="s">
        <v>298</v>
      </c>
      <c r="C30" s="23"/>
      <c r="D30" s="24"/>
    </row>
    <row r="31" spans="2:4" ht="15.75" customHeight="1" x14ac:dyDescent="0.15">
      <c r="B31" s="58" t="s">
        <v>299</v>
      </c>
      <c r="C31" s="23"/>
      <c r="D31" s="24"/>
    </row>
    <row r="32" spans="2:4" ht="15.75" customHeight="1" x14ac:dyDescent="0.15">
      <c r="B32" s="58" t="s">
        <v>300</v>
      </c>
      <c r="C32" s="23">
        <v>3</v>
      </c>
      <c r="D32" s="62" t="s">
        <v>427</v>
      </c>
    </row>
    <row r="33" spans="2:4" ht="15.75" customHeight="1" x14ac:dyDescent="0.15">
      <c r="B33" s="58" t="s">
        <v>301</v>
      </c>
      <c r="C33" s="23">
        <v>2</v>
      </c>
      <c r="D33" s="24" t="s">
        <v>421</v>
      </c>
    </row>
    <row r="34" spans="2:4" ht="15.75" customHeight="1" x14ac:dyDescent="0.15">
      <c r="B34" s="58" t="s">
        <v>302</v>
      </c>
      <c r="C34" s="23"/>
      <c r="D34" s="24"/>
    </row>
    <row r="35" spans="2:4" ht="15.75" customHeight="1" x14ac:dyDescent="0.15">
      <c r="B35" s="58" t="s">
        <v>303</v>
      </c>
      <c r="C35" s="23">
        <v>1.5</v>
      </c>
      <c r="D35" s="62" t="s">
        <v>503</v>
      </c>
    </row>
    <row r="36" spans="2:4" ht="15.75" customHeight="1" x14ac:dyDescent="0.15">
      <c r="B36" s="58" t="s">
        <v>304</v>
      </c>
      <c r="C36" s="23">
        <v>3</v>
      </c>
      <c r="D36" s="62" t="s">
        <v>496</v>
      </c>
    </row>
    <row r="37" spans="2:4" ht="15.75" customHeight="1" x14ac:dyDescent="0.15">
      <c r="B37" s="58" t="s">
        <v>305</v>
      </c>
      <c r="C37" s="23">
        <v>1.5</v>
      </c>
      <c r="D37" s="62" t="s">
        <v>428</v>
      </c>
    </row>
    <row r="38" spans="2:4" ht="15.75" customHeight="1" x14ac:dyDescent="0.15">
      <c r="B38" s="58" t="s">
        <v>306</v>
      </c>
      <c r="C38" s="23"/>
      <c r="D38" s="24"/>
    </row>
    <row r="39" spans="2:4" ht="15.75" customHeight="1" x14ac:dyDescent="0.15">
      <c r="B39" s="58" t="s">
        <v>307</v>
      </c>
      <c r="C39" s="23">
        <v>0.5</v>
      </c>
      <c r="D39" s="62" t="s">
        <v>429</v>
      </c>
    </row>
    <row r="40" spans="2:4" ht="15.75" customHeight="1" x14ac:dyDescent="0.15">
      <c r="B40" s="58" t="s">
        <v>308</v>
      </c>
      <c r="C40" s="23">
        <v>3</v>
      </c>
      <c r="D40" s="62" t="s">
        <v>430</v>
      </c>
    </row>
    <row r="41" spans="2:4" ht="6.75" customHeight="1" thickBot="1" x14ac:dyDescent="0.2">
      <c r="B41" s="10"/>
      <c r="C41" s="27"/>
      <c r="D41" s="28"/>
    </row>
    <row r="42" spans="2:4" ht="14" thickBot="1" x14ac:dyDescent="0.2">
      <c r="B42" s="29" t="s">
        <v>65</v>
      </c>
      <c r="C42" s="30">
        <f>SUM(C11:C40)</f>
        <v>31</v>
      </c>
      <c r="D42" s="31"/>
    </row>
    <row r="43" spans="2:4" ht="14" thickBot="1" x14ac:dyDescent="0.2">
      <c r="B43" s="32" t="s">
        <v>66</v>
      </c>
      <c r="C43" s="33">
        <f>C42/8</f>
        <v>3.875</v>
      </c>
      <c r="D43" s="32"/>
    </row>
    <row r="44" spans="2:4" ht="6.75" customHeight="1" x14ac:dyDescent="0.15">
      <c r="C44" s="27"/>
    </row>
  </sheetData>
  <phoneticPr fontId="0" type="noConversion"/>
  <pageMargins left="0.78740157480314965" right="0.78740157480314965" top="0.39370078740157483" bottom="0.39370078740157483" header="0.51181102362204722" footer="0.51181102362204722"/>
  <pageSetup paperSize="9" scale="6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D45"/>
  <sheetViews>
    <sheetView view="pageBreakPreview" zoomScale="60" zoomScaleNormal="125" workbookViewId="0">
      <selection sqref="A1:XFD1"/>
    </sheetView>
  </sheetViews>
  <sheetFormatPr baseColWidth="10" defaultColWidth="11.33203125" defaultRowHeight="13" x14ac:dyDescent="0.15"/>
  <cols>
    <col min="2" max="2" width="18.6640625" customWidth="1"/>
    <col min="3" max="3" width="12" customWidth="1"/>
    <col min="4" max="4" width="133" customWidth="1"/>
  </cols>
  <sheetData>
    <row r="2" spans="2:4" ht="21" customHeight="1" x14ac:dyDescent="0.2">
      <c r="B2" s="57" t="s">
        <v>403</v>
      </c>
      <c r="C2" s="57"/>
      <c r="D2" s="57" t="s">
        <v>402</v>
      </c>
    </row>
    <row r="3" spans="2:4" ht="5.25" customHeight="1" thickBot="1" x14ac:dyDescent="0.2"/>
    <row r="4" spans="2:4" ht="20" x14ac:dyDescent="0.2">
      <c r="B4" s="1" t="s">
        <v>28</v>
      </c>
      <c r="C4" s="2"/>
      <c r="D4" s="3"/>
    </row>
    <row r="5" spans="2:4" x14ac:dyDescent="0.15">
      <c r="B5" s="4" t="s">
        <v>29</v>
      </c>
      <c r="C5" s="5"/>
      <c r="D5" s="6"/>
    </row>
    <row r="6" spans="2:4" x14ac:dyDescent="0.15">
      <c r="B6" s="4" t="s">
        <v>30</v>
      </c>
      <c r="C6" s="5"/>
      <c r="D6" s="6"/>
    </row>
    <row r="7" spans="2:4" ht="17" thickBot="1" x14ac:dyDescent="0.25">
      <c r="B7" s="7" t="s">
        <v>31</v>
      </c>
      <c r="C7" s="8" t="str">
        <f>'Total Aufwand'!C24</f>
        <v>Oktober</v>
      </c>
      <c r="D7" s="9"/>
    </row>
    <row r="8" spans="2:4" ht="5.25" customHeight="1" thickBot="1" x14ac:dyDescent="0.2">
      <c r="B8" s="10"/>
      <c r="C8" s="11"/>
      <c r="D8" s="12"/>
    </row>
    <row r="9" spans="2:4" x14ac:dyDescent="0.15">
      <c r="B9" s="13" t="s">
        <v>32</v>
      </c>
      <c r="C9" s="14" t="s">
        <v>5</v>
      </c>
      <c r="D9" s="15" t="s">
        <v>33</v>
      </c>
    </row>
    <row r="10" spans="2:4" ht="14" thickBot="1" x14ac:dyDescent="0.2">
      <c r="B10" s="16"/>
      <c r="C10" s="17" t="s">
        <v>6</v>
      </c>
      <c r="D10" s="18"/>
    </row>
    <row r="11" spans="2:4" ht="15.75" customHeight="1" x14ac:dyDescent="0.15">
      <c r="B11" s="58" t="s">
        <v>309</v>
      </c>
      <c r="C11" s="20"/>
      <c r="D11" s="21"/>
    </row>
    <row r="12" spans="2:4" ht="15.75" customHeight="1" x14ac:dyDescent="0.15">
      <c r="B12" s="58" t="s">
        <v>310</v>
      </c>
      <c r="C12" s="23"/>
      <c r="D12" s="24"/>
    </row>
    <row r="13" spans="2:4" ht="15.75" customHeight="1" x14ac:dyDescent="0.15">
      <c r="B13" s="58" t="s">
        <v>311</v>
      </c>
      <c r="C13" s="23">
        <v>3</v>
      </c>
      <c r="D13" s="62" t="s">
        <v>431</v>
      </c>
    </row>
    <row r="14" spans="2:4" ht="15.75" customHeight="1" x14ac:dyDescent="0.15">
      <c r="B14" s="58" t="s">
        <v>312</v>
      </c>
      <c r="C14" s="23">
        <v>1.5</v>
      </c>
      <c r="D14" s="62" t="s">
        <v>432</v>
      </c>
    </row>
    <row r="15" spans="2:4" ht="15.75" customHeight="1" x14ac:dyDescent="0.15">
      <c r="B15" s="58" t="s">
        <v>313</v>
      </c>
      <c r="C15" s="23">
        <v>0.5</v>
      </c>
      <c r="D15" s="62" t="s">
        <v>502</v>
      </c>
    </row>
    <row r="16" spans="2:4" ht="15.75" customHeight="1" x14ac:dyDescent="0.15">
      <c r="B16" s="58" t="s">
        <v>314</v>
      </c>
      <c r="C16" s="23">
        <v>1.5</v>
      </c>
      <c r="D16" s="62" t="s">
        <v>432</v>
      </c>
    </row>
    <row r="17" spans="2:4" ht="15.75" customHeight="1" x14ac:dyDescent="0.15">
      <c r="B17" s="58" t="s">
        <v>315</v>
      </c>
      <c r="C17" s="23">
        <v>3</v>
      </c>
      <c r="D17" s="62" t="s">
        <v>433</v>
      </c>
    </row>
    <row r="18" spans="2:4" ht="15.75" customHeight="1" x14ac:dyDescent="0.15">
      <c r="B18" s="58" t="s">
        <v>316</v>
      </c>
      <c r="C18" s="23"/>
      <c r="D18" s="24"/>
    </row>
    <row r="19" spans="2:4" ht="15.75" customHeight="1" x14ac:dyDescent="0.15">
      <c r="B19" s="58" t="s">
        <v>317</v>
      </c>
      <c r="C19" s="23"/>
      <c r="D19" s="24"/>
    </row>
    <row r="20" spans="2:4" ht="15.75" customHeight="1" x14ac:dyDescent="0.15">
      <c r="B20" s="58" t="s">
        <v>318</v>
      </c>
      <c r="C20" s="23"/>
      <c r="D20" s="24"/>
    </row>
    <row r="21" spans="2:4" ht="15.75" customHeight="1" x14ac:dyDescent="0.15">
      <c r="B21" s="58" t="s">
        <v>319</v>
      </c>
      <c r="C21" s="23">
        <v>6</v>
      </c>
      <c r="D21" s="62" t="s">
        <v>434</v>
      </c>
    </row>
    <row r="22" spans="2:4" ht="15.75" customHeight="1" x14ac:dyDescent="0.15">
      <c r="B22" s="58" t="s">
        <v>320</v>
      </c>
      <c r="C22" s="23"/>
      <c r="D22" s="24"/>
    </row>
    <row r="23" spans="2:4" ht="15.75" customHeight="1" x14ac:dyDescent="0.15">
      <c r="B23" s="58" t="s">
        <v>321</v>
      </c>
      <c r="C23" s="23">
        <v>1.5</v>
      </c>
      <c r="D23" s="62" t="s">
        <v>501</v>
      </c>
    </row>
    <row r="24" spans="2:4" ht="15.75" customHeight="1" x14ac:dyDescent="0.15">
      <c r="B24" s="58" t="s">
        <v>322</v>
      </c>
      <c r="C24" s="23">
        <v>4</v>
      </c>
      <c r="D24" s="62" t="s">
        <v>485</v>
      </c>
    </row>
    <row r="25" spans="2:4" ht="15.75" customHeight="1" x14ac:dyDescent="0.15">
      <c r="B25" s="58" t="s">
        <v>323</v>
      </c>
      <c r="C25" s="23"/>
      <c r="D25" s="24"/>
    </row>
    <row r="26" spans="2:4" ht="15.75" customHeight="1" x14ac:dyDescent="0.15">
      <c r="B26" s="58" t="s">
        <v>324</v>
      </c>
      <c r="C26" s="23"/>
      <c r="D26" s="24"/>
    </row>
    <row r="27" spans="2:4" ht="15.75" customHeight="1" x14ac:dyDescent="0.15">
      <c r="B27" s="58" t="s">
        <v>325</v>
      </c>
      <c r="C27" s="23"/>
      <c r="D27" s="24"/>
    </row>
    <row r="28" spans="2:4" ht="15.75" customHeight="1" x14ac:dyDescent="0.15">
      <c r="B28" s="58" t="s">
        <v>326</v>
      </c>
      <c r="C28" s="23">
        <v>1</v>
      </c>
      <c r="D28" s="62" t="s">
        <v>435</v>
      </c>
    </row>
    <row r="29" spans="2:4" ht="15.75" customHeight="1" x14ac:dyDescent="0.15">
      <c r="B29" s="58" t="s">
        <v>327</v>
      </c>
      <c r="C29" s="23"/>
      <c r="D29" s="24"/>
    </row>
    <row r="30" spans="2:4" ht="15.75" customHeight="1" x14ac:dyDescent="0.15">
      <c r="B30" s="58" t="s">
        <v>328</v>
      </c>
      <c r="C30" s="23">
        <v>2</v>
      </c>
      <c r="D30" s="62" t="s">
        <v>436</v>
      </c>
    </row>
    <row r="31" spans="2:4" ht="15.75" customHeight="1" x14ac:dyDescent="0.15">
      <c r="B31" s="58" t="s">
        <v>329</v>
      </c>
      <c r="C31" s="23">
        <v>2</v>
      </c>
      <c r="D31" s="24" t="s">
        <v>421</v>
      </c>
    </row>
    <row r="32" spans="2:4" ht="15.75" customHeight="1" x14ac:dyDescent="0.15">
      <c r="B32" s="58" t="s">
        <v>330</v>
      </c>
      <c r="C32" s="23"/>
      <c r="D32" s="24"/>
    </row>
    <row r="33" spans="2:4" ht="15.75" customHeight="1" x14ac:dyDescent="0.15">
      <c r="B33" s="58" t="s">
        <v>331</v>
      </c>
      <c r="C33" s="23"/>
      <c r="D33" s="24"/>
    </row>
    <row r="34" spans="2:4" ht="15.75" customHeight="1" x14ac:dyDescent="0.15">
      <c r="B34" s="58" t="s">
        <v>332</v>
      </c>
      <c r="C34" s="23">
        <v>2.5</v>
      </c>
      <c r="D34" s="62" t="s">
        <v>505</v>
      </c>
    </row>
    <row r="35" spans="2:4" ht="15.75" customHeight="1" x14ac:dyDescent="0.15">
      <c r="B35" s="58" t="s">
        <v>333</v>
      </c>
      <c r="C35" s="23"/>
      <c r="D35" s="24"/>
    </row>
    <row r="36" spans="2:4" ht="15.75" customHeight="1" x14ac:dyDescent="0.15">
      <c r="B36" s="58" t="s">
        <v>334</v>
      </c>
      <c r="C36" s="23">
        <v>2</v>
      </c>
      <c r="D36" s="62" t="s">
        <v>504</v>
      </c>
    </row>
    <row r="37" spans="2:4" ht="15.75" customHeight="1" x14ac:dyDescent="0.15">
      <c r="B37" s="58" t="s">
        <v>335</v>
      </c>
      <c r="C37" s="23"/>
      <c r="D37" s="24"/>
    </row>
    <row r="38" spans="2:4" ht="15.75" customHeight="1" x14ac:dyDescent="0.15">
      <c r="B38" s="58" t="s">
        <v>336</v>
      </c>
      <c r="C38" s="23">
        <v>3</v>
      </c>
      <c r="D38" s="62" t="s">
        <v>421</v>
      </c>
    </row>
    <row r="39" spans="2:4" ht="15.75" customHeight="1" x14ac:dyDescent="0.15">
      <c r="B39" s="58" t="s">
        <v>337</v>
      </c>
      <c r="C39" s="23"/>
      <c r="D39" s="24"/>
    </row>
    <row r="40" spans="2:4" ht="15.75" customHeight="1" x14ac:dyDescent="0.15">
      <c r="B40" s="58" t="s">
        <v>338</v>
      </c>
      <c r="C40" s="23"/>
      <c r="D40" s="24"/>
    </row>
    <row r="41" spans="2:4" ht="15.75" customHeight="1" thickBot="1" x14ac:dyDescent="0.2">
      <c r="B41" s="58" t="s">
        <v>339</v>
      </c>
      <c r="C41" s="25"/>
      <c r="D41" s="26"/>
    </row>
    <row r="42" spans="2:4" ht="6.75" customHeight="1" thickBot="1" x14ac:dyDescent="0.2">
      <c r="B42" s="10"/>
      <c r="C42" s="27"/>
      <c r="D42" s="28"/>
    </row>
    <row r="43" spans="2:4" ht="14" thickBot="1" x14ac:dyDescent="0.2">
      <c r="B43" s="29" t="s">
        <v>65</v>
      </c>
      <c r="C43" s="30">
        <f>SUM(C11:C41)</f>
        <v>33.5</v>
      </c>
      <c r="D43" s="31"/>
    </row>
    <row r="44" spans="2:4" ht="14" thickBot="1" x14ac:dyDescent="0.2">
      <c r="B44" s="32" t="s">
        <v>66</v>
      </c>
      <c r="C44" s="33">
        <f>C43/8</f>
        <v>4.1875</v>
      </c>
      <c r="D44" s="32"/>
    </row>
    <row r="45" spans="2:4" ht="6.75" customHeight="1" x14ac:dyDescent="0.15">
      <c r="C45" s="27"/>
    </row>
  </sheetData>
  <phoneticPr fontId="0" type="noConversion"/>
  <pageMargins left="0.78740157480314965" right="0.78740157480314965" top="0.39370078740157483" bottom="0.39370078740157483" header="0.51181102362204722" footer="0.51181102362204722"/>
  <pageSetup paperSize="9" scale="6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44"/>
  <sheetViews>
    <sheetView view="pageBreakPreview" zoomScale="60" zoomScaleNormal="82" workbookViewId="0">
      <selection activeCell="C16" sqref="C16"/>
    </sheetView>
  </sheetViews>
  <sheetFormatPr baseColWidth="10" defaultColWidth="11.33203125" defaultRowHeight="13" x14ac:dyDescent="0.15"/>
  <cols>
    <col min="2" max="2" width="18.6640625" customWidth="1"/>
    <col min="3" max="3" width="12" customWidth="1"/>
    <col min="4" max="4" width="133" customWidth="1"/>
  </cols>
  <sheetData>
    <row r="2" spans="2:4" ht="21" customHeight="1" x14ac:dyDescent="0.2">
      <c r="B2" s="57" t="s">
        <v>403</v>
      </c>
      <c r="C2" s="57"/>
      <c r="D2" s="57" t="s">
        <v>402</v>
      </c>
    </row>
    <row r="3" spans="2:4" ht="5.25" customHeight="1" thickBot="1" x14ac:dyDescent="0.2"/>
    <row r="4" spans="2:4" ht="20" x14ac:dyDescent="0.2">
      <c r="B4" s="1" t="s">
        <v>28</v>
      </c>
      <c r="C4" s="2"/>
      <c r="D4" s="3"/>
    </row>
    <row r="5" spans="2:4" x14ac:dyDescent="0.15">
      <c r="B5" s="4" t="s">
        <v>29</v>
      </c>
      <c r="C5" s="5"/>
      <c r="D5" s="6"/>
    </row>
    <row r="6" spans="2:4" x14ac:dyDescent="0.15">
      <c r="B6" s="4" t="s">
        <v>30</v>
      </c>
      <c r="C6" s="5"/>
      <c r="D6" s="6"/>
    </row>
    <row r="7" spans="2:4" ht="17" thickBot="1" x14ac:dyDescent="0.25">
      <c r="B7" s="7" t="s">
        <v>31</v>
      </c>
      <c r="C7" s="8" t="str">
        <f>'Total Aufwand'!C25</f>
        <v>November</v>
      </c>
      <c r="D7" s="9"/>
    </row>
    <row r="8" spans="2:4" ht="5.25" customHeight="1" thickBot="1" x14ac:dyDescent="0.2">
      <c r="B8" s="10"/>
      <c r="C8" s="11"/>
      <c r="D8" s="12"/>
    </row>
    <row r="9" spans="2:4" x14ac:dyDescent="0.15">
      <c r="B9" s="13" t="s">
        <v>32</v>
      </c>
      <c r="C9" s="14" t="s">
        <v>5</v>
      </c>
      <c r="D9" s="15" t="s">
        <v>33</v>
      </c>
    </row>
    <row r="10" spans="2:4" ht="14" thickBot="1" x14ac:dyDescent="0.2">
      <c r="B10" s="16"/>
      <c r="C10" s="17" t="s">
        <v>6</v>
      </c>
      <c r="D10" s="18"/>
    </row>
    <row r="11" spans="2:4" ht="15.75" customHeight="1" x14ac:dyDescent="0.15">
      <c r="B11" s="58" t="s">
        <v>340</v>
      </c>
      <c r="C11" s="20">
        <v>1.5</v>
      </c>
      <c r="D11" s="61" t="s">
        <v>437</v>
      </c>
    </row>
    <row r="12" spans="2:4" ht="15.75" customHeight="1" x14ac:dyDescent="0.15">
      <c r="B12" s="58" t="s">
        <v>341</v>
      </c>
      <c r="C12" s="23"/>
      <c r="D12" s="24"/>
    </row>
    <row r="13" spans="2:4" ht="15.75" customHeight="1" x14ac:dyDescent="0.15">
      <c r="B13" s="58" t="s">
        <v>342</v>
      </c>
      <c r="C13" s="23">
        <v>0.5</v>
      </c>
      <c r="D13" s="62" t="s">
        <v>438</v>
      </c>
    </row>
    <row r="14" spans="2:4" ht="15.75" customHeight="1" x14ac:dyDescent="0.15">
      <c r="B14" s="58" t="s">
        <v>343</v>
      </c>
      <c r="C14" s="23">
        <v>3</v>
      </c>
      <c r="D14" s="62" t="s">
        <v>421</v>
      </c>
    </row>
    <row r="15" spans="2:4" ht="15.75" customHeight="1" x14ac:dyDescent="0.15">
      <c r="B15" s="58" t="s">
        <v>344</v>
      </c>
      <c r="C15" s="23"/>
      <c r="D15" s="24"/>
    </row>
    <row r="16" spans="2:4" ht="15.75" customHeight="1" x14ac:dyDescent="0.15">
      <c r="B16" s="58" t="s">
        <v>345</v>
      </c>
      <c r="C16" s="23">
        <v>1</v>
      </c>
      <c r="D16" s="62" t="s">
        <v>510</v>
      </c>
    </row>
    <row r="17" spans="2:4" ht="15.75" customHeight="1" x14ac:dyDescent="0.15">
      <c r="B17" s="58" t="s">
        <v>346</v>
      </c>
      <c r="C17" s="23"/>
      <c r="D17" s="24"/>
    </row>
    <row r="18" spans="2:4" ht="15.75" customHeight="1" x14ac:dyDescent="0.15">
      <c r="B18" s="58" t="s">
        <v>347</v>
      </c>
      <c r="C18" s="23"/>
      <c r="D18" s="24"/>
    </row>
    <row r="19" spans="2:4" ht="15.75" customHeight="1" x14ac:dyDescent="0.15">
      <c r="B19" s="58" t="s">
        <v>348</v>
      </c>
      <c r="C19" s="23"/>
      <c r="D19" s="24"/>
    </row>
    <row r="20" spans="2:4" ht="15.75" customHeight="1" x14ac:dyDescent="0.15">
      <c r="B20" s="58" t="s">
        <v>349</v>
      </c>
      <c r="C20" s="23"/>
      <c r="D20" s="24"/>
    </row>
    <row r="21" spans="2:4" ht="15.75" customHeight="1" x14ac:dyDescent="0.15">
      <c r="B21" s="58" t="s">
        <v>350</v>
      </c>
      <c r="C21" s="23">
        <v>1</v>
      </c>
      <c r="D21" s="62" t="s">
        <v>439</v>
      </c>
    </row>
    <row r="22" spans="2:4" ht="15.75" customHeight="1" x14ac:dyDescent="0.15">
      <c r="B22" s="58" t="s">
        <v>351</v>
      </c>
      <c r="C22" s="23"/>
      <c r="D22" s="24"/>
    </row>
    <row r="23" spans="2:4" ht="15.75" customHeight="1" x14ac:dyDescent="0.15">
      <c r="B23" s="58" t="s">
        <v>352</v>
      </c>
      <c r="C23" s="23"/>
      <c r="D23" s="24"/>
    </row>
    <row r="24" spans="2:4" ht="15.75" customHeight="1" x14ac:dyDescent="0.15">
      <c r="B24" s="58" t="s">
        <v>353</v>
      </c>
      <c r="C24" s="23">
        <v>2</v>
      </c>
      <c r="D24" s="62" t="s">
        <v>440</v>
      </c>
    </row>
    <row r="25" spans="2:4" ht="15.75" customHeight="1" x14ac:dyDescent="0.15">
      <c r="B25" s="58" t="s">
        <v>354</v>
      </c>
      <c r="C25" s="23"/>
      <c r="D25" s="24"/>
    </row>
    <row r="26" spans="2:4" ht="15.75" customHeight="1" x14ac:dyDescent="0.15">
      <c r="B26" s="58" t="s">
        <v>355</v>
      </c>
      <c r="C26" s="23"/>
      <c r="D26" s="24"/>
    </row>
    <row r="27" spans="2:4" ht="15.75" customHeight="1" x14ac:dyDescent="0.15">
      <c r="B27" s="58" t="s">
        <v>356</v>
      </c>
      <c r="C27" s="23">
        <v>1.5</v>
      </c>
      <c r="D27" s="62" t="s">
        <v>441</v>
      </c>
    </row>
    <row r="28" spans="2:4" ht="15.75" customHeight="1" x14ac:dyDescent="0.15">
      <c r="B28" s="58" t="s">
        <v>357</v>
      </c>
      <c r="C28" s="23">
        <v>6</v>
      </c>
      <c r="D28" s="62" t="s">
        <v>442</v>
      </c>
    </row>
    <row r="29" spans="2:4" ht="15.75" customHeight="1" x14ac:dyDescent="0.15">
      <c r="B29" s="58" t="s">
        <v>358</v>
      </c>
      <c r="C29" s="23">
        <v>2.5</v>
      </c>
      <c r="D29" s="62" t="s">
        <v>511</v>
      </c>
    </row>
    <row r="30" spans="2:4" ht="15.75" customHeight="1" x14ac:dyDescent="0.15">
      <c r="B30" s="58" t="s">
        <v>359</v>
      </c>
      <c r="C30" s="23"/>
      <c r="D30" s="24"/>
    </row>
    <row r="31" spans="2:4" ht="15.75" customHeight="1" x14ac:dyDescent="0.15">
      <c r="B31" s="58" t="s">
        <v>360</v>
      </c>
      <c r="C31" s="23"/>
      <c r="D31" s="24"/>
    </row>
    <row r="32" spans="2:4" ht="15.75" customHeight="1" x14ac:dyDescent="0.15">
      <c r="B32" s="58" t="s">
        <v>361</v>
      </c>
      <c r="C32" s="23">
        <v>3.5</v>
      </c>
      <c r="D32" s="62" t="s">
        <v>506</v>
      </c>
    </row>
    <row r="33" spans="2:4" ht="15.75" customHeight="1" x14ac:dyDescent="0.15">
      <c r="B33" s="58" t="s">
        <v>362</v>
      </c>
      <c r="C33" s="23"/>
      <c r="D33" s="24"/>
    </row>
    <row r="34" spans="2:4" ht="15.75" customHeight="1" x14ac:dyDescent="0.15">
      <c r="B34" s="58" t="s">
        <v>363</v>
      </c>
      <c r="C34" s="23"/>
      <c r="D34" s="24"/>
    </row>
    <row r="35" spans="2:4" ht="15.75" customHeight="1" x14ac:dyDescent="0.15">
      <c r="B35" s="58" t="s">
        <v>364</v>
      </c>
      <c r="C35" s="23"/>
      <c r="D35" s="24"/>
    </row>
    <row r="36" spans="2:4" ht="15.75" customHeight="1" x14ac:dyDescent="0.15">
      <c r="B36" s="58" t="s">
        <v>365</v>
      </c>
      <c r="C36" s="23"/>
      <c r="D36" s="24"/>
    </row>
    <row r="37" spans="2:4" ht="15.75" customHeight="1" x14ac:dyDescent="0.15">
      <c r="B37" s="58" t="s">
        <v>366</v>
      </c>
      <c r="C37" s="23">
        <v>5</v>
      </c>
      <c r="D37" s="62" t="s">
        <v>443</v>
      </c>
    </row>
    <row r="38" spans="2:4" ht="15.75" customHeight="1" x14ac:dyDescent="0.15">
      <c r="B38" s="58" t="s">
        <v>367</v>
      </c>
      <c r="C38" s="23">
        <v>2</v>
      </c>
      <c r="D38" s="62" t="s">
        <v>507</v>
      </c>
    </row>
    <row r="39" spans="2:4" ht="15.75" customHeight="1" x14ac:dyDescent="0.15">
      <c r="B39" s="58" t="s">
        <v>368</v>
      </c>
      <c r="C39" s="23"/>
      <c r="D39" s="24"/>
    </row>
    <row r="40" spans="2:4" ht="15.75" customHeight="1" x14ac:dyDescent="0.15">
      <c r="B40" s="58" t="s">
        <v>369</v>
      </c>
      <c r="C40" s="23"/>
      <c r="D40" s="24"/>
    </row>
    <row r="41" spans="2:4" ht="6.75" customHeight="1" thickBot="1" x14ac:dyDescent="0.2">
      <c r="B41" s="10"/>
      <c r="C41" s="27"/>
      <c r="D41" s="28"/>
    </row>
    <row r="42" spans="2:4" ht="14" thickBot="1" x14ac:dyDescent="0.2">
      <c r="B42" s="29" t="s">
        <v>65</v>
      </c>
      <c r="C42" s="30">
        <f>SUM(C11:C40)</f>
        <v>29.5</v>
      </c>
      <c r="D42" s="31"/>
    </row>
    <row r="43" spans="2:4" ht="14" thickBot="1" x14ac:dyDescent="0.2">
      <c r="B43" s="32" t="s">
        <v>66</v>
      </c>
      <c r="C43" s="33">
        <f>C42/8</f>
        <v>3.6875</v>
      </c>
      <c r="D43" s="32"/>
    </row>
    <row r="44" spans="2:4" ht="6.75" customHeight="1" x14ac:dyDescent="0.15">
      <c r="C44" s="27"/>
    </row>
  </sheetData>
  <phoneticPr fontId="0" type="noConversion"/>
  <pageMargins left="0.78740157480314965" right="0.78740157480314965" top="0.39370078740157483" bottom="0.39370078740157483" header="0.51181102362204722" footer="0.51181102362204722"/>
  <pageSetup paperSize="9" scale="65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D45"/>
  <sheetViews>
    <sheetView view="pageBreakPreview" zoomScale="60" zoomScaleNormal="65" workbookViewId="0">
      <selection sqref="A1:XFD1"/>
    </sheetView>
  </sheetViews>
  <sheetFormatPr baseColWidth="10" defaultColWidth="11.33203125" defaultRowHeight="13" x14ac:dyDescent="0.15"/>
  <cols>
    <col min="2" max="2" width="20.6640625" customWidth="1"/>
    <col min="3" max="3" width="12" customWidth="1"/>
    <col min="4" max="4" width="133" customWidth="1"/>
  </cols>
  <sheetData>
    <row r="2" spans="2:4" ht="21" customHeight="1" x14ac:dyDescent="0.2">
      <c r="B2" s="57" t="s">
        <v>403</v>
      </c>
      <c r="C2" s="57"/>
      <c r="D2" s="57" t="s">
        <v>402</v>
      </c>
    </row>
    <row r="3" spans="2:4" ht="5.25" customHeight="1" thickBot="1" x14ac:dyDescent="0.2"/>
    <row r="4" spans="2:4" ht="20" x14ac:dyDescent="0.2">
      <c r="B4" s="1" t="s">
        <v>28</v>
      </c>
      <c r="C4" s="2"/>
      <c r="D4" s="3"/>
    </row>
    <row r="5" spans="2:4" x14ac:dyDescent="0.15">
      <c r="B5" s="4" t="s">
        <v>29</v>
      </c>
      <c r="C5" s="5"/>
      <c r="D5" s="6"/>
    </row>
    <row r="6" spans="2:4" x14ac:dyDescent="0.15">
      <c r="B6" s="4" t="s">
        <v>30</v>
      </c>
      <c r="C6" s="5"/>
      <c r="D6" s="6"/>
    </row>
    <row r="7" spans="2:4" ht="17" thickBot="1" x14ac:dyDescent="0.25">
      <c r="B7" s="7" t="s">
        <v>31</v>
      </c>
      <c r="C7" s="8" t="str">
        <f>'Total Aufwand'!C26</f>
        <v>Dezember</v>
      </c>
      <c r="D7" s="9"/>
    </row>
    <row r="8" spans="2:4" ht="5.25" customHeight="1" thickBot="1" x14ac:dyDescent="0.2">
      <c r="B8" s="10"/>
      <c r="C8" s="11"/>
      <c r="D8" s="12"/>
    </row>
    <row r="9" spans="2:4" x14ac:dyDescent="0.15">
      <c r="B9" s="13" t="s">
        <v>32</v>
      </c>
      <c r="C9" s="14" t="s">
        <v>5</v>
      </c>
      <c r="D9" s="15" t="s">
        <v>33</v>
      </c>
    </row>
    <row r="10" spans="2:4" ht="14" thickBot="1" x14ac:dyDescent="0.2">
      <c r="B10" s="16"/>
      <c r="C10" s="17" t="s">
        <v>6</v>
      </c>
      <c r="D10" s="18"/>
    </row>
    <row r="11" spans="2:4" ht="15.75" customHeight="1" x14ac:dyDescent="0.15">
      <c r="B11" s="58" t="s">
        <v>370</v>
      </c>
      <c r="C11" s="20"/>
      <c r="D11" s="21"/>
    </row>
    <row r="12" spans="2:4" ht="15.75" customHeight="1" x14ac:dyDescent="0.15">
      <c r="B12" s="58" t="s">
        <v>371</v>
      </c>
      <c r="C12" s="23">
        <v>7</v>
      </c>
      <c r="D12" s="62" t="s">
        <v>444</v>
      </c>
    </row>
    <row r="13" spans="2:4" ht="15.75" customHeight="1" x14ac:dyDescent="0.15">
      <c r="B13" s="58" t="s">
        <v>372</v>
      </c>
      <c r="C13" s="23"/>
      <c r="D13" s="24"/>
    </row>
    <row r="14" spans="2:4" ht="15.75" customHeight="1" x14ac:dyDescent="0.15">
      <c r="B14" s="58" t="s">
        <v>373</v>
      </c>
      <c r="C14" s="23"/>
      <c r="D14" s="24"/>
    </row>
    <row r="15" spans="2:4" ht="15.75" customHeight="1" x14ac:dyDescent="0.15">
      <c r="B15" s="58" t="s">
        <v>374</v>
      </c>
      <c r="C15" s="23">
        <v>1.5</v>
      </c>
      <c r="D15" s="62" t="s">
        <v>508</v>
      </c>
    </row>
    <row r="16" spans="2:4" ht="15.75" customHeight="1" x14ac:dyDescent="0.15">
      <c r="B16" s="58" t="s">
        <v>375</v>
      </c>
      <c r="C16" s="23">
        <v>0.5</v>
      </c>
      <c r="D16" s="62" t="s">
        <v>512</v>
      </c>
    </row>
    <row r="17" spans="2:4" ht="15.75" customHeight="1" x14ac:dyDescent="0.15">
      <c r="B17" s="58" t="s">
        <v>376</v>
      </c>
      <c r="C17" s="23"/>
      <c r="D17" s="24"/>
    </row>
    <row r="18" spans="2:4" ht="15.75" customHeight="1" x14ac:dyDescent="0.15">
      <c r="B18" s="58" t="s">
        <v>377</v>
      </c>
      <c r="C18" s="23">
        <v>2</v>
      </c>
      <c r="D18" s="62" t="s">
        <v>525</v>
      </c>
    </row>
    <row r="19" spans="2:4" ht="15.75" customHeight="1" x14ac:dyDescent="0.15">
      <c r="B19" s="58" t="s">
        <v>378</v>
      </c>
      <c r="C19" s="23">
        <v>2</v>
      </c>
      <c r="D19" s="62" t="s">
        <v>421</v>
      </c>
    </row>
    <row r="20" spans="2:4" ht="15.75" customHeight="1" x14ac:dyDescent="0.15">
      <c r="B20" s="58" t="s">
        <v>379</v>
      </c>
      <c r="C20" s="23"/>
      <c r="D20" s="24"/>
    </row>
    <row r="21" spans="2:4" ht="15.75" customHeight="1" x14ac:dyDescent="0.15">
      <c r="B21" s="58" t="s">
        <v>380</v>
      </c>
      <c r="C21" s="23">
        <v>1.5</v>
      </c>
      <c r="D21" s="62" t="s">
        <v>445</v>
      </c>
    </row>
    <row r="22" spans="2:4" ht="15.75" customHeight="1" x14ac:dyDescent="0.15">
      <c r="B22" s="58" t="s">
        <v>381</v>
      </c>
      <c r="C22" s="23"/>
      <c r="D22" s="24"/>
    </row>
    <row r="23" spans="2:4" ht="15.75" customHeight="1" x14ac:dyDescent="0.15">
      <c r="B23" s="58" t="s">
        <v>382</v>
      </c>
      <c r="C23" s="23">
        <v>5</v>
      </c>
      <c r="D23" s="62" t="s">
        <v>446</v>
      </c>
    </row>
    <row r="24" spans="2:4" ht="15.75" customHeight="1" x14ac:dyDescent="0.15">
      <c r="B24" s="58" t="s">
        <v>383</v>
      </c>
      <c r="C24" s="23"/>
      <c r="D24" s="24"/>
    </row>
    <row r="25" spans="2:4" ht="15.75" customHeight="1" x14ac:dyDescent="0.15">
      <c r="B25" s="58" t="s">
        <v>384</v>
      </c>
      <c r="C25" s="23"/>
      <c r="D25" s="24"/>
    </row>
    <row r="26" spans="2:4" ht="15.75" customHeight="1" x14ac:dyDescent="0.15">
      <c r="B26" s="58" t="s">
        <v>385</v>
      </c>
      <c r="C26" s="23">
        <v>4</v>
      </c>
      <c r="D26" s="62" t="s">
        <v>447</v>
      </c>
    </row>
    <row r="27" spans="2:4" ht="15.75" customHeight="1" x14ac:dyDescent="0.15">
      <c r="B27" s="58" t="s">
        <v>386</v>
      </c>
      <c r="C27" s="23"/>
      <c r="D27" s="24"/>
    </row>
    <row r="28" spans="2:4" ht="15.75" customHeight="1" x14ac:dyDescent="0.15">
      <c r="B28" s="58" t="s">
        <v>387</v>
      </c>
      <c r="C28" s="23"/>
      <c r="D28" s="24"/>
    </row>
    <row r="29" spans="2:4" ht="15.75" customHeight="1" x14ac:dyDescent="0.15">
      <c r="B29" s="58" t="s">
        <v>388</v>
      </c>
      <c r="C29" s="23"/>
      <c r="D29" s="24"/>
    </row>
    <row r="30" spans="2:4" ht="15.75" customHeight="1" x14ac:dyDescent="0.15">
      <c r="B30" s="58" t="s">
        <v>389</v>
      </c>
      <c r="C30" s="23"/>
      <c r="D30" s="24"/>
    </row>
    <row r="31" spans="2:4" ht="15.75" customHeight="1" x14ac:dyDescent="0.15">
      <c r="B31" s="58" t="s">
        <v>390</v>
      </c>
      <c r="C31" s="23"/>
      <c r="D31" s="24"/>
    </row>
    <row r="32" spans="2:4" ht="15.75" customHeight="1" x14ac:dyDescent="0.15">
      <c r="B32" s="58" t="s">
        <v>391</v>
      </c>
      <c r="C32" s="23">
        <v>2</v>
      </c>
      <c r="D32" s="62" t="s">
        <v>448</v>
      </c>
    </row>
    <row r="33" spans="2:4" ht="15.75" customHeight="1" x14ac:dyDescent="0.15">
      <c r="B33" s="58" t="s">
        <v>392</v>
      </c>
      <c r="C33" s="23">
        <v>2</v>
      </c>
      <c r="D33" s="62" t="s">
        <v>421</v>
      </c>
    </row>
    <row r="34" spans="2:4" ht="15.75" customHeight="1" x14ac:dyDescent="0.15">
      <c r="B34" s="58" t="s">
        <v>393</v>
      </c>
      <c r="C34" s="23"/>
      <c r="D34" s="24"/>
    </row>
    <row r="35" spans="2:4" ht="15.75" customHeight="1" x14ac:dyDescent="0.15">
      <c r="B35" s="58" t="s">
        <v>394</v>
      </c>
      <c r="C35" s="23"/>
      <c r="D35" s="24"/>
    </row>
    <row r="36" spans="2:4" ht="15.75" customHeight="1" x14ac:dyDescent="0.15">
      <c r="B36" s="58" t="s">
        <v>395</v>
      </c>
      <c r="C36" s="23"/>
      <c r="D36" s="24"/>
    </row>
    <row r="37" spans="2:4" ht="15.75" customHeight="1" x14ac:dyDescent="0.15">
      <c r="B37" s="58" t="s">
        <v>396</v>
      </c>
      <c r="C37" s="23"/>
      <c r="D37" s="24"/>
    </row>
    <row r="38" spans="2:4" ht="15.75" customHeight="1" x14ac:dyDescent="0.15">
      <c r="B38" s="58" t="s">
        <v>397</v>
      </c>
      <c r="C38" s="23"/>
      <c r="D38" s="24"/>
    </row>
    <row r="39" spans="2:4" ht="15.75" customHeight="1" x14ac:dyDescent="0.15">
      <c r="B39" s="58" t="s">
        <v>398</v>
      </c>
      <c r="C39" s="23"/>
      <c r="D39" s="24"/>
    </row>
    <row r="40" spans="2:4" ht="15.75" customHeight="1" x14ac:dyDescent="0.15">
      <c r="B40" s="58" t="s">
        <v>399</v>
      </c>
      <c r="C40" s="23">
        <v>2</v>
      </c>
      <c r="D40" s="62" t="s">
        <v>421</v>
      </c>
    </row>
    <row r="41" spans="2:4" ht="15.75" customHeight="1" thickBot="1" x14ac:dyDescent="0.2">
      <c r="B41" s="58" t="s">
        <v>400</v>
      </c>
      <c r="C41" s="25"/>
      <c r="D41" s="26"/>
    </row>
    <row r="42" spans="2:4" ht="6.75" customHeight="1" thickBot="1" x14ac:dyDescent="0.2">
      <c r="B42" s="10"/>
      <c r="C42" s="27"/>
      <c r="D42" s="28"/>
    </row>
    <row r="43" spans="2:4" ht="14" thickBot="1" x14ac:dyDescent="0.2">
      <c r="B43" s="29" t="s">
        <v>65</v>
      </c>
      <c r="C43" s="30">
        <f>SUM(C11:C41)</f>
        <v>29.5</v>
      </c>
      <c r="D43" s="31"/>
    </row>
    <row r="44" spans="2:4" ht="14" thickBot="1" x14ac:dyDescent="0.2">
      <c r="B44" s="32" t="s">
        <v>66</v>
      </c>
      <c r="C44" s="33">
        <f>C43/8</f>
        <v>3.6875</v>
      </c>
      <c r="D44" s="32"/>
    </row>
    <row r="45" spans="2:4" ht="6.75" customHeight="1" x14ac:dyDescent="0.15">
      <c r="C45" s="27"/>
    </row>
  </sheetData>
  <phoneticPr fontId="0" type="noConversion"/>
  <pageMargins left="0.78740157480314965" right="0.78740157480314965" top="0.39370078740157483" bottom="0.39370078740157483" header="0.51181102362204722" footer="0.51181102362204722"/>
  <pageSetup paperSize="9" scale="64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169539-679e-41fa-b0e8-6115d891b5d4" xsi:nil="true"/>
    <lcf76f155ced4ddcb4097134ff3c332f xmlns="5b6298fb-2a8d-43a1-a51f-d37f4a3eca1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8A4809133F954985DF8A6CF8674F97" ma:contentTypeVersion="13" ma:contentTypeDescription="Create a new document." ma:contentTypeScope="" ma:versionID="3146535ef5fe245ba742435acc2dfdaa">
  <xsd:schema xmlns:xsd="http://www.w3.org/2001/XMLSchema" xmlns:xs="http://www.w3.org/2001/XMLSchema" xmlns:p="http://schemas.microsoft.com/office/2006/metadata/properties" xmlns:ns2="5b6298fb-2a8d-43a1-a51f-d37f4a3eca12" xmlns:ns3="4c169539-679e-41fa-b0e8-6115d891b5d4" targetNamespace="http://schemas.microsoft.com/office/2006/metadata/properties" ma:root="true" ma:fieldsID="a0017133086105b6259f77caa0b751e2" ns2:_="" ns3:_="">
    <xsd:import namespace="5b6298fb-2a8d-43a1-a51f-d37f4a3eca12"/>
    <xsd:import namespace="4c169539-679e-41fa-b0e8-6115d891b5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298fb-2a8d-43a1-a51f-d37f4a3eca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6e639ec-35b1-4635-902a-5d5459502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69539-679e-41fa-b0e8-6115d891b5d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99051dc-bc22-4a26-87ae-ac492c6d71ef}" ma:internalName="TaxCatchAll" ma:showField="CatchAllData" ma:web="4c169539-679e-41fa-b0e8-6115d891b5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AE50F2-7BE1-45EF-BE5C-D229314623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C5C70E-2710-450D-AA3C-90E0D52BD332}">
  <ds:schemaRefs>
    <ds:schemaRef ds:uri="http://schemas.microsoft.com/office/2006/metadata/properties"/>
    <ds:schemaRef ds:uri="http://schemas.microsoft.com/office/infopath/2007/PartnerControls"/>
    <ds:schemaRef ds:uri="4c169539-679e-41fa-b0e8-6115d891b5d4"/>
    <ds:schemaRef ds:uri="5b6298fb-2a8d-43a1-a51f-d37f4a3eca12"/>
  </ds:schemaRefs>
</ds:datastoreItem>
</file>

<file path=customXml/itemProps3.xml><?xml version="1.0" encoding="utf-8"?>
<ds:datastoreItem xmlns:ds="http://schemas.openxmlformats.org/officeDocument/2006/customXml" ds:itemID="{5171A804-D4B2-42BD-BAC5-549F2DE670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6298fb-2a8d-43a1-a51f-d37f4a3eca12"/>
    <ds:schemaRef ds:uri="4c169539-679e-41fa-b0e8-6115d891b5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13</vt:i4>
      </vt:variant>
      <vt:variant>
        <vt:lpstr>Benannte Bereiche</vt:lpstr>
      </vt:variant>
      <vt:variant>
        <vt:i4>13</vt:i4>
      </vt:variant>
    </vt:vector>
  </HeadingPairs>
  <TitlesOfParts>
    <vt:vector size="26" baseType="lpstr">
      <vt:lpstr>Total Aufwand</vt:lpstr>
      <vt:lpstr>Jan</vt:lpstr>
      <vt:lpstr>Feb</vt:lpstr>
      <vt:lpstr>März</vt:lpstr>
      <vt:lpstr>April</vt:lpstr>
      <vt:lpstr>Mai</vt:lpstr>
      <vt:lpstr>Juni</vt:lpstr>
      <vt:lpstr>Juli</vt:lpstr>
      <vt:lpstr>Aug</vt:lpstr>
      <vt:lpstr>Sept</vt:lpstr>
      <vt:lpstr>Okt</vt:lpstr>
      <vt:lpstr>Nov</vt:lpstr>
      <vt:lpstr>Dez</vt:lpstr>
      <vt:lpstr>April!Druckbereich</vt:lpstr>
      <vt:lpstr>Aug!Druckbereich</vt:lpstr>
      <vt:lpstr>Dez!Druckbereich</vt:lpstr>
      <vt:lpstr>Feb!Druckbereich</vt:lpstr>
      <vt:lpstr>Jan!Druckbereich</vt:lpstr>
      <vt:lpstr>Juli!Druckbereich</vt:lpstr>
      <vt:lpstr>Juni!Druckbereich</vt:lpstr>
      <vt:lpstr>Mai!Druckbereich</vt:lpstr>
      <vt:lpstr>März!Druckbereich</vt:lpstr>
      <vt:lpstr>Nov!Druckbereich</vt:lpstr>
      <vt:lpstr>Okt!Druckbereich</vt:lpstr>
      <vt:lpstr>Sept!Druckbereich</vt:lpstr>
      <vt:lpstr>'Total Aufwand'!Druckbereich</vt:lpstr>
    </vt:vector>
  </TitlesOfParts>
  <Manager/>
  <Company>Universität St. Gallen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Iten Pascal</dc:creator>
  <cp:keywords/>
  <dc:description/>
  <cp:lastModifiedBy>Fabian Alberti</cp:lastModifiedBy>
  <cp:revision/>
  <dcterms:created xsi:type="dcterms:W3CDTF">2003-06-17T13:25:10Z</dcterms:created>
  <dcterms:modified xsi:type="dcterms:W3CDTF">2026-05-18T09:46:38Z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0x0101007D8A4809133F954985DF8A6CF8674F97</vt:lpwstr>
  </property>
</Properties>
</file>